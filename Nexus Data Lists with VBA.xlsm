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8" codeName="{E5D1E7B1-6628-F0F0-D09B-76B25B5F3CD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kechengshi/Library/CloudStorage/GoogleDrive-skcxjezr@gmail.com/My Drive/Quant/Nexus/"/>
    </mc:Choice>
  </mc:AlternateContent>
  <xr:revisionPtr revIDLastSave="0" documentId="13_ncr:1_{E342EE40-7F68-F54C-AC5F-1AC993F48354}" xr6:coauthVersionLast="47" xr6:coauthVersionMax="47" xr10:uidLastSave="{00000000-0000-0000-0000-000000000000}"/>
  <bookViews>
    <workbookView xWindow="9840" yWindow="2540" windowWidth="40160" windowHeight="24580" tabRatio="254" xr2:uid="{00000000-000D-0000-FFFF-FFFF00000000}"/>
  </bookViews>
  <sheets>
    <sheet name="Universe" sheetId="1" r:id="rId1"/>
  </sheets>
  <functionGroups builtInGroupCount="19"/>
  <definedNames>
    <definedName name="_xlnm._FilterDatabase" localSheetId="0" hidden="1">Universe!$A$1:$N$183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33" i="1" l="1"/>
  <c r="N133" i="1"/>
  <c r="N132" i="1"/>
  <c r="I132" i="1"/>
  <c r="I134" i="1"/>
  <c r="N134" i="1"/>
  <c r="N112" i="1"/>
  <c r="I150" i="1"/>
  <c r="I102" i="1"/>
  <c r="I115" i="1"/>
  <c r="I87" i="1"/>
  <c r="I14" i="1"/>
  <c r="I168" i="1"/>
  <c r="I183" i="1"/>
  <c r="I125" i="1"/>
  <c r="N9" i="1"/>
  <c r="N168" i="1"/>
  <c r="N102" i="1"/>
  <c r="I112" i="1"/>
  <c r="N115" i="1"/>
  <c r="N87" i="1"/>
  <c r="N14" i="1"/>
  <c r="N125" i="1"/>
  <c r="N150" i="1"/>
  <c r="N183" i="1"/>
  <c r="I9" i="1"/>
  <c r="N44" i="1"/>
  <c r="I44" i="1"/>
  <c r="N70" i="1"/>
  <c r="N6" i="1"/>
  <c r="I128" i="1"/>
  <c r="N97" i="1"/>
  <c r="N13" i="1"/>
  <c r="N128" i="1"/>
  <c r="I13" i="1"/>
  <c r="I103" i="1"/>
  <c r="I171" i="1"/>
  <c r="N174" i="1"/>
  <c r="N171" i="1"/>
  <c r="I174" i="1"/>
  <c r="I56" i="1"/>
  <c r="I6" i="1"/>
  <c r="I97" i="1"/>
  <c r="N103" i="1"/>
  <c r="I70" i="1"/>
  <c r="N56" i="1"/>
  <c r="I4" i="1"/>
  <c r="I60" i="1"/>
  <c r="I11" i="1"/>
  <c r="N148" i="1"/>
  <c r="N151" i="1"/>
  <c r="I38" i="1"/>
  <c r="I164" i="1"/>
  <c r="I156" i="1"/>
  <c r="N11" i="1"/>
  <c r="I151" i="1"/>
  <c r="N38" i="1"/>
  <c r="N164" i="1"/>
  <c r="I59" i="1"/>
  <c r="N60" i="1"/>
  <c r="N59" i="1"/>
  <c r="N156" i="1"/>
  <c r="I129" i="1"/>
  <c r="N129" i="1"/>
  <c r="N4" i="1"/>
  <c r="I148" i="1"/>
  <c r="I162" i="1"/>
  <c r="N109" i="1"/>
  <c r="N106" i="1"/>
  <c r="N95" i="1"/>
  <c r="I12" i="1"/>
  <c r="I136" i="1"/>
  <c r="I118" i="1"/>
  <c r="N72" i="1"/>
  <c r="I101" i="1"/>
  <c r="I86" i="1"/>
  <c r="N136" i="1"/>
  <c r="N101" i="1"/>
  <c r="N86" i="1"/>
  <c r="I95" i="1"/>
  <c r="I106" i="1"/>
  <c r="N118" i="1"/>
  <c r="N12" i="1"/>
  <c r="N162" i="1"/>
  <c r="I109" i="1"/>
  <c r="I72" i="1"/>
  <c r="N83" i="1"/>
  <c r="I30" i="1"/>
  <c r="I52" i="1"/>
  <c r="I182" i="1"/>
  <c r="I177" i="1"/>
  <c r="N35" i="1"/>
  <c r="N90" i="1"/>
  <c r="I142" i="1"/>
  <c r="I54" i="1"/>
  <c r="N100" i="1"/>
  <c r="N177" i="1"/>
  <c r="I35" i="1"/>
  <c r="N142" i="1"/>
  <c r="N30" i="1"/>
  <c r="I90" i="1"/>
  <c r="N54" i="1"/>
  <c r="I83" i="1"/>
  <c r="I100" i="1"/>
  <c r="N52" i="1"/>
  <c r="N182" i="1"/>
  <c r="I43" i="1"/>
  <c r="I76" i="1"/>
  <c r="I3" i="1"/>
  <c r="N18" i="1"/>
  <c r="N42" i="1"/>
  <c r="I163" i="1"/>
  <c r="I65" i="1"/>
  <c r="I145" i="1"/>
  <c r="I25" i="1"/>
  <c r="I53" i="1"/>
  <c r="N65" i="1"/>
  <c r="N3" i="1"/>
  <c r="N163" i="1"/>
  <c r="N53" i="1"/>
  <c r="N43" i="1"/>
  <c r="I18" i="1"/>
  <c r="N145" i="1"/>
  <c r="N76" i="1"/>
  <c r="N25" i="1"/>
  <c r="I42" i="1"/>
  <c r="I94" i="1"/>
  <c r="I127" i="1"/>
  <c r="I99" i="1"/>
  <c r="N23" i="1"/>
  <c r="I80" i="1"/>
  <c r="N140" i="1"/>
  <c r="N157" i="1"/>
  <c r="I32" i="1"/>
  <c r="N41" i="1"/>
  <c r="N155" i="1"/>
  <c r="I23" i="1"/>
  <c r="N127" i="1"/>
  <c r="N99" i="1"/>
  <c r="N94" i="1"/>
  <c r="N80" i="1"/>
  <c r="I41" i="1"/>
  <c r="N32" i="1"/>
  <c r="I157" i="1"/>
  <c r="I155" i="1"/>
  <c r="I140" i="1"/>
  <c r="N74" i="1"/>
  <c r="I26" i="1"/>
  <c r="N105" i="1"/>
  <c r="N96" i="1"/>
  <c r="I137" i="1"/>
  <c r="I123" i="1"/>
  <c r="I79" i="1"/>
  <c r="I166" i="1"/>
  <c r="N82" i="1"/>
  <c r="N166" i="1"/>
  <c r="N152" i="1"/>
  <c r="I105" i="1"/>
  <c r="N123" i="1"/>
  <c r="I82" i="1"/>
  <c r="I152" i="1"/>
  <c r="I74" i="1"/>
  <c r="I96" i="1"/>
  <c r="N137" i="1"/>
  <c r="N26" i="1"/>
  <c r="N79" i="1"/>
  <c r="I98" i="1"/>
  <c r="N64" i="1"/>
  <c r="N85" i="1"/>
  <c r="I154" i="1"/>
  <c r="N31" i="1"/>
  <c r="I114" i="1"/>
  <c r="N28" i="1"/>
  <c r="I45" i="1"/>
  <c r="I16" i="1"/>
  <c r="N126" i="1"/>
  <c r="I85" i="1"/>
  <c r="N45" i="1"/>
  <c r="I64" i="1"/>
  <c r="N98" i="1"/>
  <c r="I126" i="1"/>
  <c r="I31" i="1"/>
  <c r="N16" i="1"/>
  <c r="N154" i="1"/>
  <c r="I28" i="1"/>
  <c r="N114" i="1"/>
  <c r="N146" i="1"/>
  <c r="I139" i="1"/>
  <c r="N170" i="1"/>
  <c r="N178" i="1"/>
  <c r="N69" i="1"/>
  <c r="I17" i="1"/>
  <c r="I15" i="1"/>
  <c r="N117" i="1"/>
  <c r="N131" i="1"/>
  <c r="I69" i="1"/>
  <c r="I117" i="1"/>
  <c r="I178" i="1"/>
  <c r="N15" i="1"/>
  <c r="I170" i="1"/>
  <c r="I131" i="1"/>
  <c r="N139" i="1"/>
  <c r="I146" i="1"/>
  <c r="N17" i="1"/>
  <c r="N167" i="1"/>
  <c r="I159" i="1"/>
  <c r="I141" i="1"/>
  <c r="I91" i="1"/>
  <c r="I176" i="1"/>
  <c r="I67" i="1"/>
  <c r="N22" i="1"/>
  <c r="N33" i="1"/>
  <c r="I89" i="1"/>
  <c r="N124" i="1"/>
  <c r="N159" i="1"/>
  <c r="N89" i="1"/>
  <c r="I167" i="1"/>
  <c r="N91" i="1"/>
  <c r="N67" i="1"/>
  <c r="N141" i="1"/>
  <c r="I124" i="1"/>
  <c r="N176" i="1"/>
  <c r="I22" i="1"/>
  <c r="I33" i="1"/>
  <c r="I62" i="1"/>
  <c r="N92" i="1"/>
  <c r="I116" i="1"/>
  <c r="N47" i="1"/>
  <c r="I121" i="1"/>
  <c r="N88" i="1"/>
  <c r="N93" i="1"/>
  <c r="I84" i="1"/>
  <c r="N2" i="1"/>
  <c r="N119" i="1"/>
  <c r="I92" i="1"/>
  <c r="I88" i="1"/>
  <c r="I93" i="1"/>
  <c r="N84" i="1"/>
  <c r="N62" i="1"/>
  <c r="I119" i="1"/>
  <c r="I47" i="1"/>
  <c r="N121" i="1"/>
  <c r="I2" i="1"/>
  <c r="N116" i="1"/>
  <c r="N169" i="1"/>
  <c r="N49" i="1"/>
  <c r="N138" i="1"/>
  <c r="I158" i="1"/>
  <c r="I8" i="1"/>
  <c r="N46" i="1"/>
  <c r="I24" i="1"/>
  <c r="N179" i="1"/>
  <c r="I7" i="1"/>
  <c r="I161" i="1"/>
  <c r="N161" i="1"/>
  <c r="N24" i="1"/>
  <c r="I169" i="1"/>
  <c r="I179" i="1"/>
  <c r="I49" i="1"/>
  <c r="I46" i="1"/>
  <c r="N158" i="1"/>
  <c r="N7" i="1"/>
  <c r="I138" i="1"/>
  <c r="N8" i="1"/>
  <c r="I172" i="1"/>
  <c r="N63" i="1"/>
  <c r="I66" i="1"/>
  <c r="I61" i="1"/>
  <c r="I29" i="1"/>
  <c r="I75" i="1"/>
  <c r="I180" i="1"/>
  <c r="N122" i="1"/>
  <c r="N180" i="1"/>
  <c r="N50" i="1"/>
  <c r="I50" i="1"/>
  <c r="N61" i="1"/>
  <c r="I122" i="1"/>
  <c r="I165" i="1"/>
  <c r="N29" i="1"/>
  <c r="N172" i="1"/>
  <c r="I63" i="1"/>
  <c r="N165" i="1"/>
  <c r="N66" i="1"/>
  <c r="N75" i="1"/>
  <c r="I144" i="1"/>
  <c r="N104" i="1"/>
  <c r="N68" i="1"/>
  <c r="N108" i="1"/>
  <c r="I19" i="1"/>
  <c r="I120" i="1"/>
  <c r="I78" i="1"/>
  <c r="I173" i="1"/>
  <c r="I181" i="1"/>
  <c r="N130" i="1"/>
  <c r="N144" i="1"/>
  <c r="N19" i="1"/>
  <c r="N173" i="1"/>
  <c r="N181" i="1"/>
  <c r="N120" i="1"/>
  <c r="I104" i="1"/>
  <c r="I108" i="1"/>
  <c r="I130" i="1"/>
  <c r="N78" i="1"/>
  <c r="I68" i="1"/>
  <c r="N81" i="1"/>
  <c r="I149" i="1"/>
  <c r="N20" i="1"/>
  <c r="N36" i="1"/>
  <c r="N40" i="1"/>
  <c r="I113" i="1"/>
  <c r="N111" i="1"/>
  <c r="I147" i="1"/>
  <c r="N34" i="1"/>
  <c r="I21" i="1"/>
  <c r="I111" i="1"/>
  <c r="N147" i="1"/>
  <c r="I34" i="1"/>
  <c r="I20" i="1"/>
  <c r="N113" i="1"/>
  <c r="I36" i="1"/>
  <c r="N149" i="1"/>
  <c r="N21" i="1"/>
  <c r="I40" i="1"/>
  <c r="I81" i="1"/>
  <c r="I5" i="1"/>
  <c r="I58" i="1"/>
  <c r="I37" i="1"/>
  <c r="N175" i="1"/>
  <c r="I48" i="1"/>
  <c r="N110" i="1"/>
  <c r="N71" i="1"/>
  <c r="N10" i="1"/>
  <c r="N153" i="1"/>
  <c r="N51" i="1"/>
  <c r="N48" i="1"/>
  <c r="N58" i="1"/>
  <c r="I153" i="1"/>
  <c r="N5" i="1"/>
  <c r="I51" i="1"/>
  <c r="I10" i="1"/>
  <c r="I71" i="1"/>
  <c r="N37" i="1"/>
  <c r="I110" i="1"/>
  <c r="I175" i="1"/>
  <c r="N27" i="1"/>
  <c r="N77" i="1"/>
  <c r="N107" i="1"/>
  <c r="N160" i="1"/>
  <c r="N73" i="1"/>
  <c r="N55" i="1"/>
  <c r="N57" i="1"/>
  <c r="I143" i="1"/>
  <c r="I135" i="1"/>
  <c r="N143" i="1"/>
  <c r="N135" i="1"/>
  <c r="I73" i="1"/>
  <c r="I57" i="1"/>
  <c r="N39" i="1"/>
  <c r="I107" i="1"/>
  <c r="I27" i="1"/>
  <c r="I77" i="1"/>
  <c r="I39" i="1"/>
  <c r="I160" i="1"/>
  <c r="I55" i="1"/>
</calcChain>
</file>

<file path=xl/sharedStrings.xml><?xml version="1.0" encoding="utf-8"?>
<sst xmlns="http://schemas.openxmlformats.org/spreadsheetml/2006/main" count="2198" uniqueCount="483">
  <si>
    <t>Ticker</t>
  </si>
  <si>
    <t>TickerSuffix</t>
  </si>
  <si>
    <t>AssetType</t>
  </si>
  <si>
    <t>Layer</t>
  </si>
  <si>
    <t>Section</t>
  </si>
  <si>
    <t>Sleeve/Category</t>
  </si>
  <si>
    <t>Region</t>
  </si>
  <si>
    <t>Country</t>
  </si>
  <si>
    <t>Name/Underlying</t>
  </si>
  <si>
    <t>Frequency</t>
  </si>
  <si>
    <t>Start</t>
  </si>
  <si>
    <t>End</t>
  </si>
  <si>
    <t>Purpose</t>
  </si>
  <si>
    <t>BDP Check</t>
  </si>
  <si>
    <t>AEP 1.00 11/01/25 Corp</t>
  </si>
  <si>
    <t>Corp</t>
  </si>
  <si>
    <t>Fixed Income (IG Corp)</t>
  </si>
  <si>
    <t>1</t>
  </si>
  <si>
    <t>1.1</t>
  </si>
  <si>
    <t>IG Corp Bonds (US)</t>
  </si>
  <si>
    <t>Americas</t>
  </si>
  <si>
    <t>US</t>
  </si>
  <si>
    <t>Daily</t>
  </si>
  <si>
    <t>2015</t>
  </si>
  <si>
    <t>2025</t>
  </si>
  <si>
    <t>Core spread &amp; carry sleeve</t>
  </si>
  <si>
    <t>CAT 3.25 09/19/49 Corp</t>
  </si>
  <si>
    <t>BALHOL 0.15 02/17/31 Corp</t>
  </si>
  <si>
    <t>CINF 6.92 05/15/28 Corp</t>
  </si>
  <si>
    <t>T 4.50 05/15/35 Corp</t>
  </si>
  <si>
    <t>TII 0.125 04/15/27 Govt</t>
  </si>
  <si>
    <t>Govt</t>
  </si>
  <si>
    <t>Fixed Income (UST TIPS)</t>
  </si>
  <si>
    <t>Govt Bonds (US)</t>
  </si>
  <si>
    <t>2005</t>
  </si>
  <si>
    <t>Real-rate anchor / inflation hedge</t>
  </si>
  <si>
    <t>CCO 7.50 06/01/29 144A Corp</t>
  </si>
  <si>
    <t>Fixed Income (HY Corp)</t>
  </si>
  <si>
    <t>High Yield (US)</t>
  </si>
  <si>
    <t>Risk-on credit beta</t>
  </si>
  <si>
    <t>F 4.346 12/08/26 Corp</t>
  </si>
  <si>
    <t>55903VBW2 Corp</t>
  </si>
  <si>
    <t>13063D4D Muni</t>
  </si>
  <si>
    <t>Muni</t>
  </si>
  <si>
    <t>Fixed Income (Municipal)</t>
  </si>
  <si>
    <t>Municipals (US)</t>
  </si>
  <si>
    <t>Tax-aware duration alternative</t>
  </si>
  <si>
    <t>650028ZN6 Muni</t>
  </si>
  <si>
    <t>BRAZIL 6 04/07/26 Govt</t>
  </si>
  <si>
    <t>Fixed Income (EM Sovereign USD)</t>
  </si>
  <si>
    <t>EM Sovereign (USD)</t>
  </si>
  <si>
    <t>BR</t>
  </si>
  <si>
    <t>2010</t>
  </si>
  <si>
    <t>EM spread sleeve</t>
  </si>
  <si>
    <t>91086QAV0 Govt</t>
  </si>
  <si>
    <t>MX</t>
  </si>
  <si>
    <t>836205BE3 Govt</t>
  </si>
  <si>
    <t>EMEA</t>
  </si>
  <si>
    <t>ZA</t>
  </si>
  <si>
    <t>AMD 3.924 06/01/32 Corp</t>
  </si>
  <si>
    <t>Corp (Conv)</t>
  </si>
  <si>
    <t>Fixed Income (Convertible)</t>
  </si>
  <si>
    <t>Convertibles (US)</t>
  </si>
  <si>
    <t>Equity-credit hybrid</t>
  </si>
  <si>
    <t>NVDA 3.2 09/16/2026 Corp</t>
  </si>
  <si>
    <t>852234AK9 Corp</t>
  </si>
  <si>
    <t>83304AAK2 Corp</t>
  </si>
  <si>
    <t>UBER 0.875 12/01/28 Corp</t>
  </si>
  <si>
    <t>TWLO 3.625 03/15/29 Corp</t>
  </si>
  <si>
    <t>LYFT 0.625 03/01/29 Corp</t>
  </si>
  <si>
    <t>ETSY 0.125 10/01/26 Corp</t>
  </si>
  <si>
    <t>82509LAA5 Corp</t>
  </si>
  <si>
    <t>CA</t>
  </si>
  <si>
    <t xml:space="preserve">17330YUV0 Corp </t>
  </si>
  <si>
    <t>BCIT1T Index</t>
  </si>
  <si>
    <t>Index</t>
  </si>
  <si>
    <t>Index (TIPS TR)</t>
  </si>
  <si>
    <t>Inflation-Linked Baskets</t>
  </si>
  <si>
    <t>Inflation hedge sleeve</t>
  </si>
  <si>
    <t>BDIF5Y  Index</t>
  </si>
  <si>
    <t>Index (Euro Linkers TR)</t>
  </si>
  <si>
    <t>EU</t>
  </si>
  <si>
    <t>ANN AU Equity</t>
  </si>
  <si>
    <t>Equity</t>
  </si>
  <si>
    <t>Equity (Cash)</t>
  </si>
  <si>
    <t>1.2</t>
  </si>
  <si>
    <t>Australia</t>
  </si>
  <si>
    <t>APAC</t>
  </si>
  <si>
    <t>AU</t>
  </si>
  <si>
    <t>2013</t>
  </si>
  <si>
    <t>DM equity in commodity economy</t>
  </si>
  <si>
    <t>HLS AU Equity</t>
  </si>
  <si>
    <t>700 HK Equity</t>
  </si>
  <si>
    <t>China/HK</t>
  </si>
  <si>
    <t>HK</t>
  </si>
  <si>
    <t>Large-cap EM tech/fin diversifier</t>
  </si>
  <si>
    <t>9988 HK Equity</t>
  </si>
  <si>
    <t>BABA US Equity</t>
  </si>
  <si>
    <t>Equity (Cash, ADR)</t>
  </si>
  <si>
    <t>China (ADR)</t>
  </si>
  <si>
    <t>939 HK Equity</t>
  </si>
  <si>
    <t>Large-cap EM financial</t>
  </si>
  <si>
    <t>ATE FP Equity</t>
  </si>
  <si>
    <t>France</t>
  </si>
  <si>
    <t>FR</t>
  </si>
  <si>
    <t>Euro industrial blend</t>
  </si>
  <si>
    <t>NEO EU Equity</t>
  </si>
  <si>
    <t>NEX FP Equity</t>
  </si>
  <si>
    <t>BC8 GY Equity</t>
  </si>
  <si>
    <t>Germany</t>
  </si>
  <si>
    <t>DE</t>
  </si>
  <si>
    <t>Euro cyclicals &amp; cap-goods beta</t>
  </si>
  <si>
    <t>RELIANCE IN Equity</t>
  </si>
  <si>
    <t>India</t>
  </si>
  <si>
    <t>IN</t>
  </si>
  <si>
    <t>EM growth + tech offshoring</t>
  </si>
  <si>
    <t>TCS IN Equity</t>
  </si>
  <si>
    <t>INFO IN Equity</t>
  </si>
  <si>
    <t>TSEM IT Equity</t>
  </si>
  <si>
    <t>Israel</t>
  </si>
  <si>
    <t>IL</t>
  </si>
  <si>
    <t>Niche semi-equipment diversifier</t>
  </si>
  <si>
    <t>TSEM US Equity</t>
  </si>
  <si>
    <t>Israel (US listing)</t>
  </si>
  <si>
    <t>PRY IM Equity</t>
  </si>
  <si>
    <t>Italy</t>
  </si>
  <si>
    <t>IT</t>
  </si>
  <si>
    <t>Euro infra-build &amp; cable demand</t>
  </si>
  <si>
    <t>4324 JP Equity</t>
  </si>
  <si>
    <t>Japan</t>
  </si>
  <si>
    <t>JP</t>
  </si>
  <si>
    <t>Yen-hedged electronics &amp; services</t>
  </si>
  <si>
    <t>9759 JP Equity</t>
  </si>
  <si>
    <t>6752 JP Equity</t>
  </si>
  <si>
    <t>RS1 LN Equity</t>
  </si>
  <si>
    <t>UK</t>
  </si>
  <si>
    <t>GB</t>
  </si>
  <si>
    <t>GBP industrial / media beta</t>
  </si>
  <si>
    <t>VID LN Equity</t>
  </si>
  <si>
    <t>MSFT US Equity</t>
  </si>
  <si>
    <t>United States</t>
  </si>
  <si>
    <t>2000</t>
  </si>
  <si>
    <t>Broad US beta across cycles</t>
  </si>
  <si>
    <t>IBM US Equity</t>
  </si>
  <si>
    <t>INTC US Equity</t>
  </si>
  <si>
    <t>CSCO US Equity</t>
  </si>
  <si>
    <t>T US Equity</t>
  </si>
  <si>
    <t>VZ US Equity</t>
  </si>
  <si>
    <t>HD US Equity</t>
  </si>
  <si>
    <t>MCD US Equity</t>
  </si>
  <si>
    <t>WMT US Equity</t>
  </si>
  <si>
    <t>PG US Equity</t>
  </si>
  <si>
    <t>KO US Equity</t>
  </si>
  <si>
    <t>JNJ US Equity</t>
  </si>
  <si>
    <t>PFE US Equity</t>
  </si>
  <si>
    <t>MRK US Equity</t>
  </si>
  <si>
    <t>JPM US Equity</t>
  </si>
  <si>
    <t>BAC US Equity</t>
  </si>
  <si>
    <t>WFC US Equity</t>
  </si>
  <si>
    <t>GE US Equity</t>
  </si>
  <si>
    <t>CAT US Equity</t>
  </si>
  <si>
    <t>HON US Equity</t>
  </si>
  <si>
    <t>XOM US Equity</t>
  </si>
  <si>
    <t>CVX US Equity</t>
  </si>
  <si>
    <t>NEE US Equity</t>
  </si>
  <si>
    <t>NEM US Equity</t>
  </si>
  <si>
    <t>SPG US Equity</t>
  </si>
  <si>
    <t>BTSIUS05 Index</t>
  </si>
  <si>
    <t>Curncy</t>
  </si>
  <si>
    <t>Swap (USD 5y)</t>
  </si>
  <si>
    <t>1.3</t>
  </si>
  <si>
    <t>Swaps</t>
  </si>
  <si>
    <t>Non-cash duration hedge</t>
  </si>
  <si>
    <t>EUSA5 Curncy</t>
  </si>
  <si>
    <t>Swap (EUR 5y)</t>
  </si>
  <si>
    <t>IBM CDS USD SR 5Y D14 Corp</t>
  </si>
  <si>
    <t>CDS</t>
  </si>
  <si>
    <t>CDS (Single-name)</t>
  </si>
  <si>
    <t>Strip issuer credit risk</t>
  </si>
  <si>
    <t>IBM US 12/19/25 C150 Equity</t>
  </si>
  <si>
    <t>Equity Option</t>
  </si>
  <si>
    <t>Equity Options</t>
  </si>
  <si>
    <t>2020</t>
  </si>
  <si>
    <t>Tail-risk hedge &amp; vol carry</t>
  </si>
  <si>
    <t>AMZN US 12/19/25 C240 Equity</t>
  </si>
  <si>
    <t>AMZN US 12/19/25 P205 Equity</t>
  </si>
  <si>
    <t>SPX 12/19/25 P6000 Index</t>
  </si>
  <si>
    <t>Index Option</t>
  </si>
  <si>
    <t>Index Options</t>
  </si>
  <si>
    <t>Systemic crash overlay</t>
  </si>
  <si>
    <t>SPX 12/20/30 P4300 Index</t>
  </si>
  <si>
    <t>VIX 12/17/25 C20 Index</t>
  </si>
  <si>
    <t>VIX Option</t>
  </si>
  <si>
    <t>VIX Options</t>
  </si>
  <si>
    <t>Vol-of-vol hedge</t>
  </si>
  <si>
    <t>VIX 12/17/25 P15 Index</t>
  </si>
  <si>
    <t>SFRZ5C 95 Comdty</t>
  </si>
  <si>
    <t>Comdty</t>
  </si>
  <si>
    <t>IR Option (US)</t>
  </si>
  <si>
    <t>IR Options (US)</t>
  </si>
  <si>
    <t>2021</t>
  </si>
  <si>
    <t>Policy shock convexity</t>
  </si>
  <si>
    <t>SFRZ5P 95 Comdty</t>
  </si>
  <si>
    <t>IR Option (EU)</t>
  </si>
  <si>
    <t>IR Options (EU)</t>
  </si>
  <si>
    <t>2018</t>
  </si>
  <si>
    <t>ECB path hedges</t>
  </si>
  <si>
    <t>RXZ5P 124.5 COMDTY</t>
  </si>
  <si>
    <t>GX1 Index</t>
  </si>
  <si>
    <t>Equity Index Future</t>
  </si>
  <si>
    <t>1.4</t>
  </si>
  <si>
    <t>DAX (Eurex)</t>
  </si>
  <si>
    <t>Intraday EU beta overlay</t>
  </si>
  <si>
    <t>ES1 Index</t>
  </si>
  <si>
    <t>S&amp;P 500 E-mini (CME)</t>
  </si>
  <si>
    <t>Cheap US beta &amp; overlay hedge</t>
  </si>
  <si>
    <t>Z 1 Index</t>
  </si>
  <si>
    <t>FTSE 100 (ICE)</t>
  </si>
  <si>
    <t>UK beta overlay</t>
  </si>
  <si>
    <t>CF1 Index</t>
  </si>
  <si>
    <t>CAC 40 (Euronext)</t>
  </si>
  <si>
    <t>France beta</t>
  </si>
  <si>
    <t>IFBZ5 Index</t>
  </si>
  <si>
    <t>CSI 300 (CFFEX)</t>
  </si>
  <si>
    <t>CN</t>
  </si>
  <si>
    <t>China beta</t>
  </si>
  <si>
    <t>SSE50 Index</t>
  </si>
  <si>
    <t>SSE 50 (CFFEX)</t>
  </si>
  <si>
    <t>FFDZ5 Index</t>
  </si>
  <si>
    <t>CSI 500 (CFFEX)</t>
  </si>
  <si>
    <t>TY1 Comdty</t>
  </si>
  <si>
    <t>Rate Future</t>
  </si>
  <si>
    <t>US 10Y Note (CME)</t>
  </si>
  <si>
    <t>Rates beta/hedge</t>
  </si>
  <si>
    <t>RX1 Comdty</t>
  </si>
  <si>
    <t>German Bund (Eurex)</t>
  </si>
  <si>
    <t>EU rates beta</t>
  </si>
  <si>
    <t>FF1 Comdty</t>
  </si>
  <si>
    <t>30-Day Fed Funds (CME)</t>
  </si>
  <si>
    <t>Policy path pricing</t>
  </si>
  <si>
    <t>SFR1 Comdty</t>
  </si>
  <si>
    <t>3M SOFR (CME)</t>
  </si>
  <si>
    <t>CL1 Comdty</t>
  </si>
  <si>
    <t>Commodity Future</t>
  </si>
  <si>
    <t>WTI Crude (NYMEX)</t>
  </si>
  <si>
    <t>Energy cost shock</t>
  </si>
  <si>
    <t>NG1 Comdty</t>
  </si>
  <si>
    <t>Nat Gas (Henry Hub)</t>
  </si>
  <si>
    <t>Energy spread/hedge</t>
  </si>
  <si>
    <t>CO1 COMDTY</t>
  </si>
  <si>
    <t>Dutch TTF Gas (ICE Endex)</t>
  </si>
  <si>
    <t>NL</t>
  </si>
  <si>
    <t>EU energy hedge</t>
  </si>
  <si>
    <t>GC1 Comdty</t>
  </si>
  <si>
    <t>Gold (COMEX)</t>
  </si>
  <si>
    <t>Global</t>
  </si>
  <si>
    <t>Crisis diversifier &amp; inflation hedge</t>
  </si>
  <si>
    <t>W 1 Comdty</t>
  </si>
  <si>
    <t>Wheat (CBOT SRW)</t>
  </si>
  <si>
    <t>Food-inflation proxy</t>
  </si>
  <si>
    <t>AUDUSD Curncy</t>
  </si>
  <si>
    <t>Currency Future</t>
  </si>
  <si>
    <t>Carry sleeve</t>
  </si>
  <si>
    <t>EC1 Comdty</t>
  </si>
  <si>
    <t>EUR (CME)</t>
  </si>
  <si>
    <t>USDCNH Comdty</t>
  </si>
  <si>
    <t>CNH (CME)</t>
  </si>
  <si>
    <t>FX Spot</t>
  </si>
  <si>
    <t>APAC/US</t>
  </si>
  <si>
    <t>AU/US</t>
  </si>
  <si>
    <t>Liquidity, gap-risk</t>
  </si>
  <si>
    <t>EURUSD Curncy</t>
  </si>
  <si>
    <t>EMEA/US</t>
  </si>
  <si>
    <t>EU/US</t>
  </si>
  <si>
    <t>CHFUSD Curncy</t>
  </si>
  <si>
    <t>CH/US</t>
  </si>
  <si>
    <t>DXY Index</t>
  </si>
  <si>
    <t>FX Index</t>
  </si>
  <si>
    <t>—</t>
  </si>
  <si>
    <t>USDCNH Curncy</t>
  </si>
  <si>
    <t>US/CN</t>
  </si>
  <si>
    <t>AUD1M BGN Curncy</t>
  </si>
  <si>
    <t>BGN Curncy</t>
  </si>
  <si>
    <t>FX Forward</t>
  </si>
  <si>
    <t>FX Forwards</t>
  </si>
  <si>
    <t>Translation hedge / macro view</t>
  </si>
  <si>
    <t>AUD3M BGN Curncy</t>
  </si>
  <si>
    <t>EUR1M BGN Curncy</t>
  </si>
  <si>
    <t>EUR3M BGN Curncy</t>
  </si>
  <si>
    <t>USDCNH1M BGN Curncy</t>
  </si>
  <si>
    <t>USDCNH3M BGN Curncy</t>
  </si>
  <si>
    <t>BGCI Index</t>
  </si>
  <si>
    <t>Crypto Index</t>
  </si>
  <si>
    <t>Crypto</t>
  </si>
  <si>
    <t>Alt beta</t>
  </si>
  <si>
    <t>XBTUSD BGN Curncy</t>
  </si>
  <si>
    <t>Crypto (Spot)</t>
  </si>
  <si>
    <t>XETUSD BGN Curncy</t>
  </si>
  <si>
    <t>SPY US Equity</t>
  </si>
  <si>
    <t>ETF</t>
  </si>
  <si>
    <t>1.5</t>
  </si>
  <si>
    <t>Core ETFs</t>
  </si>
  <si>
    <t>Portfolio proxy / sanity check</t>
  </si>
  <si>
    <t>AGG US Equity</t>
  </si>
  <si>
    <t>HYG US Equity</t>
  </si>
  <si>
    <t>GLD US Equity</t>
  </si>
  <si>
    <t>MUB US Equity</t>
  </si>
  <si>
    <t>EEM US Equity</t>
  </si>
  <si>
    <t>VFIAX US Equity</t>
  </si>
  <si>
    <t>Open-End Fund (NAV)</t>
  </si>
  <si>
    <t>Mutual Funds</t>
  </si>
  <si>
    <t>Retail flow &amp; benchmark checks</t>
  </si>
  <si>
    <t>VTSAX US Equity</t>
  </si>
  <si>
    <t>VVIAX US Equity</t>
  </si>
  <si>
    <t>VIGAX US Equity</t>
  </si>
  <si>
    <t>VBIAX US Equity</t>
  </si>
  <si>
    <t>VWENX US Equity</t>
  </si>
  <si>
    <t>VBTLX US Equity</t>
  </si>
  <si>
    <t>DODGX US Equity</t>
  </si>
  <si>
    <t>PTTRX US Equity</t>
  </si>
  <si>
    <t>PRGFX US Equity</t>
  </si>
  <si>
    <t>ESZ5C 5000 Index</t>
  </si>
  <si>
    <t>Futures Option (US)</t>
  </si>
  <si>
    <t>1.6</t>
  </si>
  <si>
    <t>Full chains via OMON/OVML</t>
  </si>
  <si>
    <t>ESZ5P 4500 Index</t>
  </si>
  <si>
    <t>CLZ5C 80 Comdty</t>
  </si>
  <si>
    <t>TYZ5C 112 Comdty</t>
  </si>
  <si>
    <t>DAX 10/17/25 P23000 INDEX</t>
  </si>
  <si>
    <t>Futures Option (EU)</t>
  </si>
  <si>
    <t>Europe</t>
  </si>
  <si>
    <t>Use front + next expiries</t>
  </si>
  <si>
    <t>RXZ5C 132 Comdty</t>
  </si>
  <si>
    <t>FVSU5C 20 Index</t>
  </si>
  <si>
    <t>NKY 10 P37250 INDEX</t>
  </si>
  <si>
    <t>Futures Option (Asia)</t>
  </si>
  <si>
    <t>Asia</t>
  </si>
  <si>
    <t>SHSZ300 INDEX</t>
  </si>
  <si>
    <t>SSE50 9 C3000 INDEX</t>
  </si>
  <si>
    <t>SH000905 INDEX</t>
  </si>
  <si>
    <t>CPI YOY Index</t>
  </si>
  <si>
    <t>Macro Indicator</t>
  </si>
  <si>
    <t>2</t>
  </si>
  <si>
    <t>CPI (headline)</t>
  </si>
  <si>
    <t>1985</t>
  </si>
  <si>
    <t>Inflation vs. disinflation regimes</t>
  </si>
  <si>
    <t>CPI XYOY Index</t>
  </si>
  <si>
    <t>CPI (core)</t>
  </si>
  <si>
    <t>Underlying inflation</t>
  </si>
  <si>
    <t>PPI YOY Index</t>
  </si>
  <si>
    <t>PPI</t>
  </si>
  <si>
    <t>Upstream cost pressure</t>
  </si>
  <si>
    <t>GDP CQOQ Index</t>
  </si>
  <si>
    <t>GDP</t>
  </si>
  <si>
    <t>Growth cycle phase</t>
  </si>
  <si>
    <t>USURTOT Index</t>
  </si>
  <si>
    <t>Labor</t>
  </si>
  <si>
    <t>Slack / recession flag</t>
  </si>
  <si>
    <t>IP YOY Index</t>
  </si>
  <si>
    <t>Production</t>
  </si>
  <si>
    <t>Output momentum</t>
  </si>
  <si>
    <t>M2NS Index</t>
  </si>
  <si>
    <t>Money</t>
  </si>
  <si>
    <t>1995</t>
  </si>
  <si>
    <t>Liquidity pulse</t>
  </si>
  <si>
    <t>FDTR Index</t>
  </si>
  <si>
    <t>Policy Rate</t>
  </si>
  <si>
    <t>Fed Funds Target</t>
  </si>
  <si>
    <t>Policy shock driver</t>
  </si>
  <si>
    <t>USGG10YR Index</t>
  </si>
  <si>
    <t>Yield</t>
  </si>
  <si>
    <t>Treasury Yield</t>
  </si>
  <si>
    <t>Curve anchor &amp; discount rate</t>
  </si>
  <si>
    <t>USGGBE10 Index</t>
  </si>
  <si>
    <t>Breakeven</t>
  </si>
  <si>
    <t>Inflation</t>
  </si>
  <si>
    <t>Market inflation view</t>
  </si>
  <si>
    <t>NAPMPMI Index</t>
  </si>
  <si>
    <t>PMI</t>
  </si>
  <si>
    <t>ISM Manufacturing PMI</t>
  </si>
  <si>
    <t>Business sentiment</t>
  </si>
  <si>
    <t>NHSPATOT INDEX</t>
  </si>
  <si>
    <t>Housing</t>
  </si>
  <si>
    <t>Permits</t>
  </si>
  <si>
    <t>Real-asset cycle</t>
  </si>
  <si>
    <t>RSTAXMOM Index</t>
  </si>
  <si>
    <t>Retail</t>
  </si>
  <si>
    <t>Retail Sales ex-Auto</t>
  </si>
  <si>
    <t>Consumer demand</t>
  </si>
  <si>
    <t>NFP TCH Index</t>
  </si>
  <si>
    <t>NFP</t>
  </si>
  <si>
    <t>Labour market shock</t>
  </si>
  <si>
    <t>PCE CRCH Index</t>
  </si>
  <si>
    <t>PCE</t>
  </si>
  <si>
    <t>Spending</t>
  </si>
  <si>
    <t>Household spend trend</t>
  </si>
  <si>
    <t>DGNOCHNG Index</t>
  </si>
  <si>
    <t>Orders</t>
  </si>
  <si>
    <t>Durable Goods</t>
  </si>
  <si>
    <t>Capex lead indicator</t>
  </si>
  <si>
    <t>VIX Index</t>
  </si>
  <si>
    <t>Sentiment (Vol)</t>
  </si>
  <si>
    <t>4</t>
  </si>
  <si>
    <t>VIX</t>
  </si>
  <si>
    <t>Equity fear / VaR scaler</t>
  </si>
  <si>
    <t>MOVE Index</t>
  </si>
  <si>
    <t>Sentiment (Rates Vol)</t>
  </si>
  <si>
    <t>MOVE</t>
  </si>
  <si>
    <t>Rate-vol stress</t>
  </si>
  <si>
    <t>IBOXIG Index</t>
  </si>
  <si>
    <t>Credit OAS</t>
  </si>
  <si>
    <t>CDX IG OAS</t>
  </si>
  <si>
    <t>Systemic credit risk</t>
  </si>
  <si>
    <t>IBOXHY Index</t>
  </si>
  <si>
    <t>CDX HY OAS</t>
  </si>
  <si>
    <t>High-yield stress</t>
  </si>
  <si>
    <t>BFCIUS INDEX</t>
  </si>
  <si>
    <t>Policy Uncertainty</t>
  </si>
  <si>
    <t>US Policy-Uncertainty</t>
  </si>
  <si>
    <t>Macro shock flag</t>
  </si>
  <si>
    <t>CONSSENT INDEX</t>
  </si>
  <si>
    <t>Exposure Index</t>
  </si>
  <si>
    <t>NAAIM Exposure</t>
  </si>
  <si>
    <t>Active-manager risk-on/off</t>
  </si>
  <si>
    <t>CONCCONF INDEX</t>
  </si>
  <si>
    <t>Business Confidence</t>
  </si>
  <si>
    <t>OECD BCI</t>
  </si>
  <si>
    <t>Growth sentiment overlay</t>
  </si>
  <si>
    <t>V2X Index</t>
  </si>
  <si>
    <t>EU Equity Vol</t>
  </si>
  <si>
    <t>VSTOXX</t>
  </si>
  <si>
    <t>EU equity vol</t>
  </si>
  <si>
    <t>ESTRON INDEX</t>
  </si>
  <si>
    <t>ECB Deposit Facility</t>
  </si>
  <si>
    <t>Policy regime monitor</t>
  </si>
  <si>
    <t>LECPOAS INDEX</t>
  </si>
  <si>
    <t>Euro IG OAS</t>
  </si>
  <si>
    <t>EU credit stress</t>
  </si>
  <si>
    <t>LP01OAS INDEX</t>
  </si>
  <si>
    <t>Euro HY OAS</t>
  </si>
  <si>
    <t>EU HY stress</t>
  </si>
  <si>
    <t>CPMINDX INDEX</t>
  </si>
  <si>
    <t>VXEEM INDEX</t>
  </si>
  <si>
    <t>Vol (ETF)</t>
  </si>
  <si>
    <t>VXFXI</t>
  </si>
  <si>
    <t>2007</t>
  </si>
  <si>
    <t>CN equity vol</t>
  </si>
  <si>
    <t>NBS Manufacturing PMI</t>
  </si>
  <si>
    <t>Growth sentiment</t>
  </si>
  <si>
    <t>SHIF3M INDEX</t>
  </si>
  <si>
    <t>Money Market</t>
  </si>
  <si>
    <t>SHIBOR 3M</t>
  </si>
  <si>
    <t>CN funding stress</t>
  </si>
  <si>
    <t>FNARTR Index</t>
  </si>
  <si>
    <t>Alt (Real Estate)</t>
  </si>
  <si>
    <t>5</t>
  </si>
  <si>
    <t>NCREIF ODCE</t>
  </si>
  <si>
    <t>Property beta &amp; appraisal smoothing</t>
  </si>
  <si>
    <t>SPBDLL Index</t>
  </si>
  <si>
    <t>Alt (Private Credit)</t>
  </si>
  <si>
    <t>QAI US EQUITY</t>
  </si>
  <si>
    <t>Alt (Hedge Funds)</t>
  </si>
  <si>
    <t>HFRX Global</t>
  </si>
  <si>
    <t>Alt-beta diversifier &amp; fee drag</t>
  </si>
  <si>
    <t>DJBGICUT INDEX</t>
  </si>
  <si>
    <t>Alt (Infrastructure)</t>
  </si>
  <si>
    <t>GLIO Infrastructure</t>
  </si>
  <si>
    <t>2017</t>
  </si>
  <si>
    <t>Inflation hedge (proxy 2010–16 if needed)</t>
  </si>
  <si>
    <t>Cliffwater DL Index</t>
  </si>
  <si>
    <t>2004</t>
  </si>
  <si>
    <t>Private-credit benchmarking</t>
  </si>
  <si>
    <t>RPG US Equity</t>
  </si>
  <si>
    <t>Alt (PE/VC)</t>
  </si>
  <si>
    <t>PitchBook Benchmarks</t>
  </si>
  <si>
    <t>Illiquid equity risk</t>
  </si>
  <si>
    <t>CESIUSD INDEX</t>
  </si>
  <si>
    <t>Alt (Proxies)</t>
  </si>
  <si>
    <t>Card/Mobility/Foot-traffic</t>
  </si>
  <si>
    <t>US/EU</t>
  </si>
  <si>
    <t>Nowcasting macro/earnings</t>
  </si>
  <si>
    <t>TYZ5C 95 Comdty</t>
  </si>
  <si>
    <t>TKYZ5C 98 COMDTY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</si>
</sst>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83"/>
  <sheetViews>
    <sheetView tabSelected="1" zoomScale="141" workbookViewId="0">
      <pane ySplit="1" topLeftCell="A8" activePane="bottomLeft" state="frozen"/>
      <selection pane="bottomLeft" activeCell="I24" sqref="I24"/>
    </sheetView>
  </sheetViews>
  <sheetFormatPr baseColWidth="10" defaultColWidth="8.83203125" defaultRowHeight="15" x14ac:dyDescent="0.2"/>
  <cols>
    <col min="1" max="1" width="33" bestFit="1" customWidth="1"/>
    <col min="2" max="2" width="14.6640625" customWidth="1"/>
    <col min="3" max="3" width="33.6640625" customWidth="1"/>
    <col min="4" max="5" width="12.6640625" customWidth="1"/>
    <col min="6" max="6" width="28.6640625" customWidth="1"/>
    <col min="7" max="8" width="12.6640625" customWidth="1"/>
    <col min="9" max="9" width="40.6640625" customWidth="1"/>
    <col min="10" max="10" width="29.6640625" customWidth="1"/>
    <col min="11" max="12" width="12.6640625" customWidth="1"/>
    <col min="13" max="13" width="31.5" customWidth="1"/>
    <col min="14" max="14" width="22.5" bestFit="1" customWidth="1"/>
  </cols>
  <sheetData>
    <row r="1" spans="1:14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2" t="s">
        <v>13</v>
      </c>
    </row>
    <row r="2" spans="1:14" x14ac:dyDescent="0.2">
      <c r="A2" t="s">
        <v>42</v>
      </c>
      <c r="B2" t="s">
        <v>43</v>
      </c>
      <c r="C2" t="s">
        <v>44</v>
      </c>
      <c r="D2" t="s">
        <v>17</v>
      </c>
      <c r="E2" t="s">
        <v>18</v>
      </c>
      <c r="F2" t="s">
        <v>45</v>
      </c>
      <c r="G2" t="s">
        <v>20</v>
      </c>
      <c r="H2" t="s">
        <v>21</v>
      </c>
      <c r="I2" t="str">
        <f ca="1">IF(LEN(TRIM($A2))=0,"",IFERROR(_xll.BDP($A2,"SECURITY_NAME"),""))</f>
        <v/>
      </c>
      <c r="J2" t="s">
        <v>22</v>
      </c>
      <c r="K2" t="s">
        <v>23</v>
      </c>
      <c r="L2" t="s">
        <v>24</v>
      </c>
      <c r="M2" t="s">
        <v>46</v>
      </c>
      <c r="N2" t="e">
        <f ca="1">IF(LEN(TRIM(A2))=0,"",IFERROR(_xll.BDP(A2,"PX_LAST"),NA()))</f>
        <v>#N/A</v>
      </c>
    </row>
    <row r="3" spans="1:14" x14ac:dyDescent="0.2">
      <c r="A3" t="s">
        <v>73</v>
      </c>
      <c r="B3" t="s">
        <v>60</v>
      </c>
      <c r="C3" t="s">
        <v>61</v>
      </c>
      <c r="D3" t="s">
        <v>17</v>
      </c>
      <c r="E3" t="s">
        <v>18</v>
      </c>
      <c r="F3" t="s">
        <v>62</v>
      </c>
      <c r="G3" t="s">
        <v>20</v>
      </c>
      <c r="H3" t="s">
        <v>21</v>
      </c>
      <c r="I3" t="str">
        <f ca="1">IF(LEN(TRIM($A3))=0,"",IFERROR(_xll.BDP($A3,"SECURITY_NAME"),""))</f>
        <v/>
      </c>
      <c r="J3" t="s">
        <v>22</v>
      </c>
      <c r="K3" t="s">
        <v>23</v>
      </c>
      <c r="L3" t="s">
        <v>24</v>
      </c>
      <c r="M3" t="s">
        <v>63</v>
      </c>
      <c r="N3" t="e">
        <f ca="1">IF(LEN(TRIM(A3))=0,"",IFERROR(_xll.BDP(A3,"PX_LAST"),NA()))</f>
        <v>#N/A</v>
      </c>
    </row>
    <row r="4" spans="1:14" x14ac:dyDescent="0.2">
      <c r="A4" t="s">
        <v>128</v>
      </c>
      <c r="B4" t="s">
        <v>83</v>
      </c>
      <c r="C4" t="s">
        <v>84</v>
      </c>
      <c r="D4" t="s">
        <v>17</v>
      </c>
      <c r="E4" t="s">
        <v>85</v>
      </c>
      <c r="F4" t="s">
        <v>129</v>
      </c>
      <c r="G4" t="s">
        <v>87</v>
      </c>
      <c r="H4" t="s">
        <v>130</v>
      </c>
      <c r="I4" t="str">
        <f ca="1">IF(LEN(TRIM($A4))=0,"",IFERROR(_xll.BDP($A4,"SECURITY_NAME"),""))</f>
        <v/>
      </c>
      <c r="J4" t="s">
        <v>22</v>
      </c>
      <c r="K4" t="s">
        <v>52</v>
      </c>
      <c r="L4" t="s">
        <v>24</v>
      </c>
      <c r="M4" t="s">
        <v>131</v>
      </c>
      <c r="N4" t="e">
        <f ca="1">IF(LEN(TRIM(A4))=0,"",IFERROR(_xll.BDP(A4,"PX_LAST"),NA()))</f>
        <v>#N/A</v>
      </c>
    </row>
    <row r="5" spans="1:14" x14ac:dyDescent="0.2">
      <c r="A5" t="s">
        <v>41</v>
      </c>
      <c r="B5" t="s">
        <v>15</v>
      </c>
      <c r="C5" t="s">
        <v>37</v>
      </c>
      <c r="D5" t="s">
        <v>17</v>
      </c>
      <c r="E5" t="s">
        <v>18</v>
      </c>
      <c r="F5" t="s">
        <v>38</v>
      </c>
      <c r="G5" t="s">
        <v>20</v>
      </c>
      <c r="H5" t="s">
        <v>21</v>
      </c>
      <c r="I5" t="str">
        <f ca="1">IF(LEN(TRIM($A5))=0,"",IFERROR(_xll.BDP($A5,"SECURITY_NAME"),""))</f>
        <v/>
      </c>
      <c r="J5" t="s">
        <v>22</v>
      </c>
      <c r="K5" t="s">
        <v>23</v>
      </c>
      <c r="L5" t="s">
        <v>24</v>
      </c>
      <c r="M5" t="s">
        <v>39</v>
      </c>
      <c r="N5" t="e">
        <f ca="1">IF(LEN(TRIM(A5))=0,"",IFERROR(_xll.BDP(A5,"PX_LAST"),NA()))</f>
        <v>#N/A</v>
      </c>
    </row>
    <row r="6" spans="1:14" x14ac:dyDescent="0.2">
      <c r="A6" t="s">
        <v>47</v>
      </c>
      <c r="B6" t="s">
        <v>43</v>
      </c>
      <c r="C6" t="s">
        <v>44</v>
      </c>
      <c r="D6" t="s">
        <v>17</v>
      </c>
      <c r="E6" t="s">
        <v>18</v>
      </c>
      <c r="F6" t="s">
        <v>45</v>
      </c>
      <c r="G6" t="s">
        <v>20</v>
      </c>
      <c r="H6" t="s">
        <v>21</v>
      </c>
      <c r="I6" t="str">
        <f ca="1">IF(LEN(TRIM($A6))=0,"",IFERROR(_xll.BDP($A6,"SECURITY_NAME"),""))</f>
        <v/>
      </c>
      <c r="J6" t="s">
        <v>22</v>
      </c>
      <c r="K6" t="s">
        <v>23</v>
      </c>
      <c r="L6" t="s">
        <v>24</v>
      </c>
      <c r="M6" t="s">
        <v>46</v>
      </c>
      <c r="N6" t="e">
        <f ca="1">IF(LEN(TRIM(A6))=0,"",IFERROR(_xll.BDP(A6,"PX_LAST"),NA()))</f>
        <v>#N/A</v>
      </c>
    </row>
    <row r="7" spans="1:14" x14ac:dyDescent="0.2">
      <c r="A7" t="s">
        <v>133</v>
      </c>
      <c r="B7" t="s">
        <v>83</v>
      </c>
      <c r="C7" t="s">
        <v>84</v>
      </c>
      <c r="D7" t="s">
        <v>17</v>
      </c>
      <c r="E7" t="s">
        <v>85</v>
      </c>
      <c r="F7" t="s">
        <v>129</v>
      </c>
      <c r="G7" t="s">
        <v>87</v>
      </c>
      <c r="H7" t="s">
        <v>130</v>
      </c>
      <c r="I7" t="str">
        <f ca="1">IF(LEN(TRIM($A7))=0,"",IFERROR(_xll.BDP($A7,"SECURITY_NAME"),""))</f>
        <v/>
      </c>
      <c r="J7" t="s">
        <v>22</v>
      </c>
      <c r="K7" t="s">
        <v>52</v>
      </c>
      <c r="L7" t="s">
        <v>24</v>
      </c>
      <c r="M7" t="s">
        <v>131</v>
      </c>
      <c r="N7" t="e">
        <f ca="1">IF(LEN(TRIM(A7))=0,"",IFERROR(_xll.BDP(A7,"PX_LAST"),NA()))</f>
        <v>#N/A</v>
      </c>
    </row>
    <row r="8" spans="1:14" x14ac:dyDescent="0.2">
      <c r="A8" t="s">
        <v>92</v>
      </c>
      <c r="B8" t="s">
        <v>83</v>
      </c>
      <c r="C8" t="s">
        <v>84</v>
      </c>
      <c r="D8" t="s">
        <v>17</v>
      </c>
      <c r="E8" t="s">
        <v>85</v>
      </c>
      <c r="F8" t="s">
        <v>93</v>
      </c>
      <c r="G8" t="s">
        <v>87</v>
      </c>
      <c r="H8" t="s">
        <v>94</v>
      </c>
      <c r="I8" t="str">
        <f ca="1">IF(LEN(TRIM($A8))=0,"",IFERROR(_xll.BDP($A8,"SECURITY_NAME"),""))</f>
        <v/>
      </c>
      <c r="J8" t="s">
        <v>22</v>
      </c>
      <c r="K8" t="s">
        <v>52</v>
      </c>
      <c r="L8" t="s">
        <v>24</v>
      </c>
      <c r="M8" t="s">
        <v>95</v>
      </c>
      <c r="N8" t="e">
        <f ca="1">IF(LEN(TRIM(A8))=0,"",IFERROR(_xll.BDP(A8,"PX_LAST"),NA()))</f>
        <v>#N/A</v>
      </c>
    </row>
    <row r="9" spans="1:14" x14ac:dyDescent="0.2">
      <c r="A9" t="s">
        <v>71</v>
      </c>
      <c r="B9" t="s">
        <v>60</v>
      </c>
      <c r="C9" t="s">
        <v>61</v>
      </c>
      <c r="D9" t="s">
        <v>17</v>
      </c>
      <c r="E9" t="s">
        <v>18</v>
      </c>
      <c r="F9" t="s">
        <v>62</v>
      </c>
      <c r="G9" t="s">
        <v>20</v>
      </c>
      <c r="H9" t="s">
        <v>72</v>
      </c>
      <c r="I9" t="str">
        <f ca="1">IF(LEN(TRIM($A9))=0,"",IFERROR(_xll.BDP($A9,"SECURITY_NAME"),""))</f>
        <v/>
      </c>
      <c r="J9" t="s">
        <v>22</v>
      </c>
      <c r="K9" t="s">
        <v>23</v>
      </c>
      <c r="L9" t="s">
        <v>24</v>
      </c>
      <c r="M9" t="s">
        <v>63</v>
      </c>
      <c r="N9" t="e">
        <f ca="1">IF(LEN(TRIM(A9))=0,"",IFERROR(_xll.BDP(A9,"PX_LAST"),NA()))</f>
        <v>#N/A</v>
      </c>
    </row>
    <row r="10" spans="1:14" x14ac:dyDescent="0.2">
      <c r="A10" t="s">
        <v>66</v>
      </c>
      <c r="B10" t="s">
        <v>60</v>
      </c>
      <c r="C10" t="s">
        <v>61</v>
      </c>
      <c r="D10" t="s">
        <v>17</v>
      </c>
      <c r="E10" t="s">
        <v>18</v>
      </c>
      <c r="F10" t="s">
        <v>62</v>
      </c>
      <c r="G10" t="s">
        <v>20</v>
      </c>
      <c r="H10" t="s">
        <v>21</v>
      </c>
      <c r="I10" t="str">
        <f ca="1">IF(LEN(TRIM($A10))=0,"",IFERROR(_xll.BDP($A10,"SECURITY_NAME"),""))</f>
        <v/>
      </c>
      <c r="J10" t="s">
        <v>22</v>
      </c>
      <c r="K10" t="s">
        <v>23</v>
      </c>
      <c r="L10" t="s">
        <v>24</v>
      </c>
      <c r="M10" t="s">
        <v>63</v>
      </c>
      <c r="N10" t="e">
        <f ca="1">IF(LEN(TRIM(A10))=0,"",IFERROR(_xll.BDP(A10,"PX_LAST"),NA()))</f>
        <v>#N/A</v>
      </c>
    </row>
    <row r="11" spans="1:14" x14ac:dyDescent="0.2">
      <c r="A11" t="s">
        <v>56</v>
      </c>
      <c r="B11" t="s">
        <v>31</v>
      </c>
      <c r="C11" t="s">
        <v>49</v>
      </c>
      <c r="D11" t="s">
        <v>17</v>
      </c>
      <c r="E11" t="s">
        <v>18</v>
      </c>
      <c r="F11" t="s">
        <v>50</v>
      </c>
      <c r="G11" t="s">
        <v>57</v>
      </c>
      <c r="H11" t="s">
        <v>58</v>
      </c>
      <c r="I11" t="str">
        <f ca="1">IF(LEN(TRIM($A11))=0,"",IFERROR(_xll.BDP($A11,"SECURITY_NAME"),""))</f>
        <v/>
      </c>
      <c r="J11" t="s">
        <v>22</v>
      </c>
      <c r="K11" t="s">
        <v>52</v>
      </c>
      <c r="L11" t="s">
        <v>24</v>
      </c>
      <c r="M11" t="s">
        <v>53</v>
      </c>
      <c r="N11" t="e">
        <f ca="1">IF(LEN(TRIM(A11))=0,"",IFERROR(_xll.BDP(A11,"PX_LAST"),NA()))</f>
        <v>#N/A</v>
      </c>
    </row>
    <row r="12" spans="1:14" x14ac:dyDescent="0.2">
      <c r="A12" t="s">
        <v>65</v>
      </c>
      <c r="B12" t="s">
        <v>60</v>
      </c>
      <c r="C12" t="s">
        <v>61</v>
      </c>
      <c r="D12" t="s">
        <v>17</v>
      </c>
      <c r="E12" t="s">
        <v>18</v>
      </c>
      <c r="F12" t="s">
        <v>62</v>
      </c>
      <c r="G12" t="s">
        <v>20</v>
      </c>
      <c r="H12" t="s">
        <v>21</v>
      </c>
      <c r="I12" t="str">
        <f ca="1">IF(LEN(TRIM($A12))=0,"",IFERROR(_xll.BDP($A12,"SECURITY_NAME"),""))</f>
        <v/>
      </c>
      <c r="J12" t="s">
        <v>22</v>
      </c>
      <c r="K12" t="s">
        <v>23</v>
      </c>
      <c r="L12" t="s">
        <v>24</v>
      </c>
      <c r="M12" t="s">
        <v>63</v>
      </c>
      <c r="N12" t="e">
        <f ca="1">IF(LEN(TRIM(A12))=0,"",IFERROR(_xll.BDP(A12,"PX_LAST"),NA()))</f>
        <v>#N/A</v>
      </c>
    </row>
    <row r="13" spans="1:14" x14ac:dyDescent="0.2">
      <c r="A13" t="s">
        <v>54</v>
      </c>
      <c r="B13" t="s">
        <v>31</v>
      </c>
      <c r="C13" t="s">
        <v>49</v>
      </c>
      <c r="D13" t="s">
        <v>17</v>
      </c>
      <c r="E13" t="s">
        <v>18</v>
      </c>
      <c r="F13" t="s">
        <v>50</v>
      </c>
      <c r="G13" t="s">
        <v>20</v>
      </c>
      <c r="H13" t="s">
        <v>55</v>
      </c>
      <c r="I13" t="str">
        <f ca="1">IF(LEN(TRIM($A13))=0,"",IFERROR(_xll.BDP($A13,"SECURITY_NAME"),""))</f>
        <v/>
      </c>
      <c r="J13" t="s">
        <v>22</v>
      </c>
      <c r="K13" t="s">
        <v>52</v>
      </c>
      <c r="L13" t="s">
        <v>24</v>
      </c>
      <c r="M13" t="s">
        <v>53</v>
      </c>
      <c r="N13" t="e">
        <f ca="1">IF(LEN(TRIM(A13))=0,"",IFERROR(_xll.BDP(A13,"PX_LAST"),NA()))</f>
        <v>#N/A</v>
      </c>
    </row>
    <row r="14" spans="1:14" x14ac:dyDescent="0.2">
      <c r="A14" t="s">
        <v>100</v>
      </c>
      <c r="B14" t="s">
        <v>83</v>
      </c>
      <c r="C14" t="s">
        <v>84</v>
      </c>
      <c r="D14" t="s">
        <v>17</v>
      </c>
      <c r="E14" t="s">
        <v>85</v>
      </c>
      <c r="F14" t="s">
        <v>93</v>
      </c>
      <c r="G14" t="s">
        <v>87</v>
      </c>
      <c r="H14" t="s">
        <v>94</v>
      </c>
      <c r="I14" t="str">
        <f ca="1">IF(LEN(TRIM($A14))=0,"",IFERROR(_xll.BDP($A14,"SECURITY_NAME"),""))</f>
        <v/>
      </c>
      <c r="J14" t="s">
        <v>22</v>
      </c>
      <c r="K14" t="s">
        <v>52</v>
      </c>
      <c r="L14" t="s">
        <v>24</v>
      </c>
      <c r="M14" t="s">
        <v>101</v>
      </c>
      <c r="N14" t="e">
        <f ca="1">IF(LEN(TRIM(A14))=0,"",IFERROR(_xll.BDP(A14,"PX_LAST"),NA()))</f>
        <v>#N/A</v>
      </c>
    </row>
    <row r="15" spans="1:14" x14ac:dyDescent="0.2">
      <c r="A15" t="s">
        <v>132</v>
      </c>
      <c r="B15" t="s">
        <v>83</v>
      </c>
      <c r="C15" t="s">
        <v>84</v>
      </c>
      <c r="D15" t="s">
        <v>17</v>
      </c>
      <c r="E15" t="s">
        <v>85</v>
      </c>
      <c r="F15" t="s">
        <v>129</v>
      </c>
      <c r="G15" t="s">
        <v>87</v>
      </c>
      <c r="H15" t="s">
        <v>130</v>
      </c>
      <c r="I15" t="str">
        <f ca="1">IF(LEN(TRIM($A15))=0,"",IFERROR(_xll.BDP($A15,"SECURITY_NAME"),""))</f>
        <v/>
      </c>
      <c r="J15" t="s">
        <v>22</v>
      </c>
      <c r="K15" t="s">
        <v>52</v>
      </c>
      <c r="L15" t="s">
        <v>24</v>
      </c>
      <c r="M15" t="s">
        <v>131</v>
      </c>
      <c r="N15" t="e">
        <f ca="1">IF(LEN(TRIM(A15))=0,"",IFERROR(_xll.BDP(A15,"PX_LAST"),NA()))</f>
        <v>#N/A</v>
      </c>
    </row>
    <row r="16" spans="1:14" x14ac:dyDescent="0.2">
      <c r="A16" t="s">
        <v>96</v>
      </c>
      <c r="B16" t="s">
        <v>83</v>
      </c>
      <c r="C16" t="s">
        <v>84</v>
      </c>
      <c r="D16" t="s">
        <v>17</v>
      </c>
      <c r="E16" t="s">
        <v>85</v>
      </c>
      <c r="F16" t="s">
        <v>93</v>
      </c>
      <c r="G16" t="s">
        <v>87</v>
      </c>
      <c r="H16" t="s">
        <v>94</v>
      </c>
      <c r="I16" t="str">
        <f ca="1">IF(LEN(TRIM($A16))=0,"",IFERROR(_xll.BDP($A16,"SECURITY_NAME"),""))</f>
        <v/>
      </c>
      <c r="J16" t="s">
        <v>22</v>
      </c>
      <c r="K16" t="s">
        <v>52</v>
      </c>
      <c r="L16" t="s">
        <v>24</v>
      </c>
      <c r="M16" t="s">
        <v>95</v>
      </c>
      <c r="N16" t="e">
        <f ca="1">IF(LEN(TRIM(A16))=0,"",IFERROR(_xll.BDP(A16,"PX_LAST"),NA()))</f>
        <v>#N/A</v>
      </c>
    </row>
    <row r="17" spans="1:14" x14ac:dyDescent="0.2">
      <c r="A17" t="s">
        <v>14</v>
      </c>
      <c r="B17" t="s">
        <v>15</v>
      </c>
      <c r="C17" t="s">
        <v>16</v>
      </c>
      <c r="D17" t="s">
        <v>17</v>
      </c>
      <c r="E17" t="s">
        <v>18</v>
      </c>
      <c r="F17" t="s">
        <v>19</v>
      </c>
      <c r="G17" t="s">
        <v>20</v>
      </c>
      <c r="H17" t="s">
        <v>21</v>
      </c>
      <c r="I17" t="str">
        <f ca="1">IF(LEN(TRIM($A17))=0,"",IFERROR(_xll.BDP($A17,"SECURITY_NAME"),""))</f>
        <v/>
      </c>
      <c r="J17" t="s">
        <v>22</v>
      </c>
      <c r="K17" t="s">
        <v>23</v>
      </c>
      <c r="L17" t="s">
        <v>24</v>
      </c>
      <c r="M17" t="s">
        <v>25</v>
      </c>
      <c r="N17" t="e">
        <f ca="1">IF(LEN(TRIM(A17))=0,"",IFERROR(_xll.BDP(A17,"PX_LAST"),NA()))</f>
        <v>#N/A</v>
      </c>
    </row>
    <row r="18" spans="1:14" x14ac:dyDescent="0.2">
      <c r="A18" t="s">
        <v>303</v>
      </c>
      <c r="B18" t="s">
        <v>83</v>
      </c>
      <c r="C18" t="s">
        <v>299</v>
      </c>
      <c r="D18" t="s">
        <v>17</v>
      </c>
      <c r="E18" t="s">
        <v>300</v>
      </c>
      <c r="F18" t="s">
        <v>301</v>
      </c>
      <c r="G18" t="s">
        <v>20</v>
      </c>
      <c r="H18" t="s">
        <v>21</v>
      </c>
      <c r="I18" t="str">
        <f ca="1">IF(LEN(TRIM($A18))=0,"",IFERROR(_xll.BDP($A18,"SECURITY_NAME"),""))</f>
        <v/>
      </c>
      <c r="J18" t="s">
        <v>22</v>
      </c>
      <c r="K18" t="s">
        <v>34</v>
      </c>
      <c r="L18" t="s">
        <v>24</v>
      </c>
      <c r="M18" t="s">
        <v>302</v>
      </c>
      <c r="N18" t="e">
        <f ca="1">IF(LEN(TRIM(A18))=0,"",IFERROR(_xll.BDP(A18,"PX_LAST"),NA()))</f>
        <v>#N/A</v>
      </c>
    </row>
    <row r="19" spans="1:14" x14ac:dyDescent="0.2">
      <c r="A19" t="s">
        <v>59</v>
      </c>
      <c r="B19" t="s">
        <v>60</v>
      </c>
      <c r="C19" t="s">
        <v>61</v>
      </c>
      <c r="D19" t="s">
        <v>17</v>
      </c>
      <c r="E19" t="s">
        <v>18</v>
      </c>
      <c r="F19" t="s">
        <v>62</v>
      </c>
      <c r="G19" t="s">
        <v>20</v>
      </c>
      <c r="H19" t="s">
        <v>21</v>
      </c>
      <c r="I19" t="str">
        <f ca="1">IF(LEN(TRIM($A19))=0,"",IFERROR(_xll.BDP($A19,"SECURITY_NAME"),""))</f>
        <v/>
      </c>
      <c r="J19" t="s">
        <v>22</v>
      </c>
      <c r="K19" t="s">
        <v>23</v>
      </c>
      <c r="L19" t="s">
        <v>24</v>
      </c>
      <c r="M19" t="s">
        <v>63</v>
      </c>
      <c r="N19" t="e">
        <f ca="1">IF(LEN(TRIM(A19))=0,"",IFERROR(_xll.BDP(A19,"PX_LAST"),NA()))</f>
        <v>#N/A</v>
      </c>
    </row>
    <row r="20" spans="1:14" x14ac:dyDescent="0.2">
      <c r="A20" t="s">
        <v>184</v>
      </c>
      <c r="B20" t="s">
        <v>83</v>
      </c>
      <c r="C20" t="s">
        <v>180</v>
      </c>
      <c r="D20" t="s">
        <v>17</v>
      </c>
      <c r="E20" t="s">
        <v>170</v>
      </c>
      <c r="F20" t="s">
        <v>181</v>
      </c>
      <c r="G20" t="s">
        <v>20</v>
      </c>
      <c r="H20" t="s">
        <v>21</v>
      </c>
      <c r="I20" t="str">
        <f ca="1">IF(LEN(TRIM($A20))=0,"",IFERROR(_xll.BDP($A20,"SECURITY_NAME"),""))</f>
        <v/>
      </c>
      <c r="J20" t="s">
        <v>22</v>
      </c>
      <c r="K20" t="s">
        <v>182</v>
      </c>
      <c r="L20" t="s">
        <v>24</v>
      </c>
      <c r="M20" t="s">
        <v>183</v>
      </c>
      <c r="N20" t="e">
        <f ca="1">IF(LEN(TRIM(A20))=0,"",IFERROR(_xll.BDP(A20,"PX_LAST"),NA()))</f>
        <v>#N/A</v>
      </c>
    </row>
    <row r="21" spans="1:14" x14ac:dyDescent="0.2">
      <c r="A21" t="s">
        <v>185</v>
      </c>
      <c r="B21" t="s">
        <v>83</v>
      </c>
      <c r="C21" t="s">
        <v>180</v>
      </c>
      <c r="D21" t="s">
        <v>17</v>
      </c>
      <c r="E21" t="s">
        <v>170</v>
      </c>
      <c r="F21" t="s">
        <v>181</v>
      </c>
      <c r="G21" t="s">
        <v>20</v>
      </c>
      <c r="H21" t="s">
        <v>21</v>
      </c>
      <c r="I21" t="str">
        <f ca="1">IF(LEN(TRIM($A21))=0,"",IFERROR(_xll.BDP($A21,"SECURITY_NAME"),""))</f>
        <v/>
      </c>
      <c r="J21" t="s">
        <v>22</v>
      </c>
      <c r="K21" t="s">
        <v>182</v>
      </c>
      <c r="L21" t="s">
        <v>24</v>
      </c>
      <c r="M21" t="s">
        <v>183</v>
      </c>
      <c r="N21" t="e">
        <f ca="1">IF(LEN(TRIM(A21))=0,"",IFERROR(_xll.BDP(A21,"PX_LAST"),NA()))</f>
        <v>#N/A</v>
      </c>
    </row>
    <row r="22" spans="1:14" x14ac:dyDescent="0.2">
      <c r="A22" t="s">
        <v>82</v>
      </c>
      <c r="B22" t="s">
        <v>83</v>
      </c>
      <c r="C22" t="s">
        <v>84</v>
      </c>
      <c r="D22" t="s">
        <v>17</v>
      </c>
      <c r="E22" t="s">
        <v>85</v>
      </c>
      <c r="F22" t="s">
        <v>86</v>
      </c>
      <c r="G22" t="s">
        <v>87</v>
      </c>
      <c r="H22" t="s">
        <v>88</v>
      </c>
      <c r="I22" t="str">
        <f ca="1">IF(LEN(TRIM($A22))=0,"",IFERROR(_xll.BDP($A22,"SECURITY_NAME"),""))</f>
        <v/>
      </c>
      <c r="J22" t="s">
        <v>22</v>
      </c>
      <c r="K22" t="s">
        <v>89</v>
      </c>
      <c r="L22" t="s">
        <v>24</v>
      </c>
      <c r="M22" t="s">
        <v>90</v>
      </c>
      <c r="N22" t="e">
        <f ca="1">IF(LEN(TRIM(A22))=0,"",IFERROR(_xll.BDP(A22,"PX_LAST"),NA()))</f>
        <v>#N/A</v>
      </c>
    </row>
    <row r="23" spans="1:14" x14ac:dyDescent="0.2">
      <c r="A23" t="s">
        <v>102</v>
      </c>
      <c r="B23" t="s">
        <v>83</v>
      </c>
      <c r="C23" t="s">
        <v>84</v>
      </c>
      <c r="D23" t="s">
        <v>17</v>
      </c>
      <c r="E23" t="s">
        <v>85</v>
      </c>
      <c r="F23" t="s">
        <v>103</v>
      </c>
      <c r="G23" t="s">
        <v>57</v>
      </c>
      <c r="H23" t="s">
        <v>104</v>
      </c>
      <c r="I23" t="str">
        <f ca="1">IF(LEN(TRIM($A23))=0,"",IFERROR(_xll.BDP($A23,"SECURITY_NAME"),""))</f>
        <v/>
      </c>
      <c r="J23" t="s">
        <v>22</v>
      </c>
      <c r="K23" t="s">
        <v>52</v>
      </c>
      <c r="L23" t="s">
        <v>24</v>
      </c>
      <c r="M23" t="s">
        <v>105</v>
      </c>
      <c r="N23" t="e">
        <f ca="1">IF(LEN(TRIM(A23))=0,"",IFERROR(_xll.BDP(A23,"PX_LAST"),NA()))</f>
        <v>#N/A</v>
      </c>
    </row>
    <row r="24" spans="1:14" x14ac:dyDescent="0.2">
      <c r="A24" t="s">
        <v>281</v>
      </c>
      <c r="B24" t="s">
        <v>282</v>
      </c>
      <c r="C24" t="s">
        <v>283</v>
      </c>
      <c r="D24" t="s">
        <v>17</v>
      </c>
      <c r="E24" t="s">
        <v>210</v>
      </c>
      <c r="F24" t="s">
        <v>284</v>
      </c>
      <c r="G24" t="s">
        <v>268</v>
      </c>
      <c r="H24" t="s">
        <v>269</v>
      </c>
      <c r="I24" t="str">
        <f ca="1">IF(LEN(TRIM($A24))=0,"",IFERROR(_xll.BDP($A24,"SECURITY_NAME"),""))</f>
        <v/>
      </c>
      <c r="J24" t="s">
        <v>22</v>
      </c>
      <c r="K24" t="s">
        <v>182</v>
      </c>
      <c r="L24" t="s">
        <v>24</v>
      </c>
      <c r="M24" t="s">
        <v>285</v>
      </c>
      <c r="N24" t="e">
        <f ca="1">IF(LEN(TRIM(A24))=0,"",IFERROR(_xll.BDP(A24,"PX_LAST"),NA()))</f>
        <v>#N/A</v>
      </c>
    </row>
    <row r="25" spans="1:14" x14ac:dyDescent="0.2">
      <c r="A25" t="s">
        <v>286</v>
      </c>
      <c r="B25" t="s">
        <v>282</v>
      </c>
      <c r="C25" t="s">
        <v>283</v>
      </c>
      <c r="D25" t="s">
        <v>17</v>
      </c>
      <c r="E25" t="s">
        <v>210</v>
      </c>
      <c r="F25" t="s">
        <v>284</v>
      </c>
      <c r="G25" t="s">
        <v>268</v>
      </c>
      <c r="H25" t="s">
        <v>269</v>
      </c>
      <c r="I25" t="str">
        <f ca="1">IF(LEN(TRIM($A25))=0,"",IFERROR(_xll.BDP($A25,"SECURITY_NAME"),""))</f>
        <v/>
      </c>
      <c r="J25" t="s">
        <v>22</v>
      </c>
      <c r="K25" t="s">
        <v>182</v>
      </c>
      <c r="L25" t="s">
        <v>24</v>
      </c>
      <c r="M25" t="s">
        <v>285</v>
      </c>
      <c r="N25" t="e">
        <f ca="1">IF(LEN(TRIM(A25))=0,"",IFERROR(_xll.BDP(A25,"PX_LAST"),NA()))</f>
        <v>#N/A</v>
      </c>
    </row>
    <row r="26" spans="1:14" x14ac:dyDescent="0.2">
      <c r="A26" t="s">
        <v>260</v>
      </c>
      <c r="B26" t="s">
        <v>168</v>
      </c>
      <c r="C26" t="s">
        <v>267</v>
      </c>
      <c r="D26" t="s">
        <v>17</v>
      </c>
      <c r="E26" t="s">
        <v>210</v>
      </c>
      <c r="F26" t="s">
        <v>267</v>
      </c>
      <c r="G26" t="s">
        <v>268</v>
      </c>
      <c r="H26" t="s">
        <v>269</v>
      </c>
      <c r="I26" t="str">
        <f ca="1">IF(LEN(TRIM($A26))=0,"",IFERROR(_xll.BDP($A26,"SECURITY_NAME"),""))</f>
        <v/>
      </c>
      <c r="J26" t="s">
        <v>22</v>
      </c>
      <c r="K26" t="s">
        <v>34</v>
      </c>
      <c r="L26" t="s">
        <v>24</v>
      </c>
      <c r="M26" t="s">
        <v>270</v>
      </c>
      <c r="N26" t="e">
        <f ca="1">IF(LEN(TRIM(A26))=0,"",IFERROR(_xll.BDP(A26,"PX_LAST"),NA()))</f>
        <v>#N/A</v>
      </c>
    </row>
    <row r="27" spans="1:14" x14ac:dyDescent="0.2">
      <c r="A27" t="s">
        <v>97</v>
      </c>
      <c r="B27" t="s">
        <v>83</v>
      </c>
      <c r="C27" t="s">
        <v>98</v>
      </c>
      <c r="D27" t="s">
        <v>17</v>
      </c>
      <c r="E27" t="s">
        <v>85</v>
      </c>
      <c r="F27" t="s">
        <v>99</v>
      </c>
      <c r="G27" t="s">
        <v>20</v>
      </c>
      <c r="H27" t="s">
        <v>21</v>
      </c>
      <c r="I27" t="str">
        <f ca="1">IF(LEN(TRIM($A27))=0,"",IFERROR(_xll.BDP($A27,"SECURITY_NAME"),""))</f>
        <v/>
      </c>
      <c r="J27" t="s">
        <v>22</v>
      </c>
      <c r="K27" t="s">
        <v>52</v>
      </c>
      <c r="L27" t="s">
        <v>24</v>
      </c>
      <c r="M27" t="s">
        <v>95</v>
      </c>
      <c r="N27" t="e">
        <f ca="1">IF(LEN(TRIM(A27))=0,"",IFERROR(_xll.BDP(A27,"PX_LAST"),NA()))</f>
        <v>#N/A</v>
      </c>
    </row>
    <row r="28" spans="1:14" x14ac:dyDescent="0.2">
      <c r="A28" t="s">
        <v>157</v>
      </c>
      <c r="B28" t="s">
        <v>83</v>
      </c>
      <c r="C28" t="s">
        <v>84</v>
      </c>
      <c r="D28" t="s">
        <v>17</v>
      </c>
      <c r="E28" t="s">
        <v>85</v>
      </c>
      <c r="F28" t="s">
        <v>140</v>
      </c>
      <c r="G28" t="s">
        <v>20</v>
      </c>
      <c r="H28" t="s">
        <v>21</v>
      </c>
      <c r="I28" t="str">
        <f ca="1">IF(LEN(TRIM($A28))=0,"",IFERROR(_xll.BDP($A28,"SECURITY_NAME"),""))</f>
        <v/>
      </c>
      <c r="J28" t="s">
        <v>22</v>
      </c>
      <c r="K28" t="s">
        <v>141</v>
      </c>
      <c r="L28" t="s">
        <v>24</v>
      </c>
      <c r="M28" t="s">
        <v>142</v>
      </c>
      <c r="N28" t="e">
        <f ca="1">IF(LEN(TRIM(A28))=0,"",IFERROR(_xll.BDP(A28,"PX_LAST"),NA()))</f>
        <v>#N/A</v>
      </c>
    </row>
    <row r="29" spans="1:14" x14ac:dyDescent="0.2">
      <c r="A29" t="s">
        <v>27</v>
      </c>
      <c r="B29" t="s">
        <v>15</v>
      </c>
      <c r="C29" t="s">
        <v>16</v>
      </c>
      <c r="D29" t="s">
        <v>17</v>
      </c>
      <c r="E29" t="s">
        <v>18</v>
      </c>
      <c r="F29" t="s">
        <v>19</v>
      </c>
      <c r="G29" t="s">
        <v>20</v>
      </c>
      <c r="H29" t="s">
        <v>21</v>
      </c>
      <c r="I29" t="str">
        <f ca="1">IF(LEN(TRIM($A29))=0,"",IFERROR(_xll.BDP($A29,"SECURITY_NAME"),""))</f>
        <v/>
      </c>
      <c r="J29" t="s">
        <v>22</v>
      </c>
      <c r="K29" t="s">
        <v>23</v>
      </c>
      <c r="L29" t="s">
        <v>24</v>
      </c>
      <c r="M29" t="s">
        <v>25</v>
      </c>
      <c r="N29" t="e">
        <f ca="1">IF(LEN(TRIM(A29))=0,"",IFERROR(_xll.BDP(A29,"PX_LAST"),NA()))</f>
        <v>#N/A</v>
      </c>
    </row>
    <row r="30" spans="1:14" x14ac:dyDescent="0.2">
      <c r="A30" t="s">
        <v>108</v>
      </c>
      <c r="B30" t="s">
        <v>83</v>
      </c>
      <c r="C30" t="s">
        <v>84</v>
      </c>
      <c r="D30" t="s">
        <v>17</v>
      </c>
      <c r="E30" t="s">
        <v>85</v>
      </c>
      <c r="F30" t="s">
        <v>109</v>
      </c>
      <c r="G30" t="s">
        <v>57</v>
      </c>
      <c r="H30" t="s">
        <v>110</v>
      </c>
      <c r="I30" t="str">
        <f ca="1">IF(LEN(TRIM($A30))=0,"",IFERROR(_xll.BDP($A30,"SECURITY_NAME"),""))</f>
        <v/>
      </c>
      <c r="J30" t="s">
        <v>22</v>
      </c>
      <c r="K30" t="s">
        <v>52</v>
      </c>
      <c r="L30" t="s">
        <v>24</v>
      </c>
      <c r="M30" t="s">
        <v>111</v>
      </c>
      <c r="N30" t="e">
        <f ca="1">IF(LEN(TRIM(A30))=0,"",IFERROR(_xll.BDP(A30,"PX_LAST"),NA()))</f>
        <v>#N/A</v>
      </c>
    </row>
    <row r="31" spans="1:14" x14ac:dyDescent="0.2">
      <c r="A31" t="s">
        <v>74</v>
      </c>
      <c r="B31" t="s">
        <v>75</v>
      </c>
      <c r="C31" t="s">
        <v>76</v>
      </c>
      <c r="D31" t="s">
        <v>17</v>
      </c>
      <c r="E31" t="s">
        <v>18</v>
      </c>
      <c r="F31" t="s">
        <v>77</v>
      </c>
      <c r="G31" t="s">
        <v>20</v>
      </c>
      <c r="H31" t="s">
        <v>21</v>
      </c>
      <c r="I31" t="str">
        <f ca="1">IF(LEN(TRIM($A31))=0,"",IFERROR(_xll.BDP($A31,"SECURITY_NAME"),""))</f>
        <v/>
      </c>
      <c r="J31" t="s">
        <v>22</v>
      </c>
      <c r="K31" t="s">
        <v>34</v>
      </c>
      <c r="L31" t="s">
        <v>24</v>
      </c>
      <c r="M31" t="s">
        <v>78</v>
      </c>
      <c r="N31" t="e">
        <f ca="1">IF(LEN(TRIM(A31))=0,"",IFERROR(_xll.BDP(A31,"PX_LAST"),NA()))</f>
        <v>#N/A</v>
      </c>
    </row>
    <row r="32" spans="1:14" x14ac:dyDescent="0.2">
      <c r="A32" t="s">
        <v>79</v>
      </c>
      <c r="B32" t="s">
        <v>75</v>
      </c>
      <c r="C32" t="s">
        <v>80</v>
      </c>
      <c r="D32" t="s">
        <v>17</v>
      </c>
      <c r="E32" t="s">
        <v>18</v>
      </c>
      <c r="F32" t="s">
        <v>77</v>
      </c>
      <c r="G32" t="s">
        <v>57</v>
      </c>
      <c r="H32" t="s">
        <v>81</v>
      </c>
      <c r="I32" t="str">
        <f ca="1">IF(LEN(TRIM($A32))=0,"",IFERROR(_xll.BDP($A32,"SECURITY_NAME"),""))</f>
        <v/>
      </c>
      <c r="J32" t="s">
        <v>22</v>
      </c>
      <c r="K32" t="s">
        <v>34</v>
      </c>
      <c r="L32" t="s">
        <v>24</v>
      </c>
      <c r="M32" t="s">
        <v>78</v>
      </c>
      <c r="N32" t="e">
        <f ca="1">IF(LEN(TRIM(A32))=0,"",IFERROR(_xll.BDP(A32,"PX_LAST"),NA()))</f>
        <v>#N/A</v>
      </c>
    </row>
    <row r="33" spans="1:14" x14ac:dyDescent="0.2">
      <c r="A33" t="s">
        <v>416</v>
      </c>
      <c r="B33" t="s">
        <v>75</v>
      </c>
      <c r="C33" t="s">
        <v>417</v>
      </c>
      <c r="D33" t="s">
        <v>402</v>
      </c>
      <c r="E33" t="s">
        <v>278</v>
      </c>
      <c r="F33" t="s">
        <v>418</v>
      </c>
      <c r="G33" t="s">
        <v>20</v>
      </c>
      <c r="H33" t="s">
        <v>21</v>
      </c>
      <c r="I33" t="str">
        <f ca="1">IF(LEN(TRIM($A33))=0,"",IFERROR(_xll.BDP($A33,"SECURITY_NAME"),""))</f>
        <v/>
      </c>
      <c r="J33" t="s">
        <v>22</v>
      </c>
      <c r="K33" t="s">
        <v>52</v>
      </c>
      <c r="L33" t="s">
        <v>24</v>
      </c>
      <c r="M33" t="s">
        <v>419</v>
      </c>
      <c r="N33" t="e">
        <f ca="1">IF(LEN(TRIM(A33))=0,"",IFERROR(_xll.BDP(A33,"PX_LAST"),NA()))</f>
        <v>#N/A</v>
      </c>
    </row>
    <row r="34" spans="1:14" x14ac:dyDescent="0.2">
      <c r="A34" t="s">
        <v>291</v>
      </c>
      <c r="B34" t="s">
        <v>75</v>
      </c>
      <c r="C34" t="s">
        <v>292</v>
      </c>
      <c r="D34" t="s">
        <v>17</v>
      </c>
      <c r="E34" t="s">
        <v>210</v>
      </c>
      <c r="F34" t="s">
        <v>293</v>
      </c>
      <c r="G34" t="s">
        <v>255</v>
      </c>
      <c r="H34" t="s">
        <v>278</v>
      </c>
      <c r="I34" t="str">
        <f ca="1">IF(LEN(TRIM($A34))=0,"",IFERROR(_xll.BDP($A34,"SECURITY_NAME"),""))</f>
        <v/>
      </c>
      <c r="J34" t="s">
        <v>22</v>
      </c>
      <c r="K34" t="s">
        <v>205</v>
      </c>
      <c r="L34" t="s">
        <v>24</v>
      </c>
      <c r="M34" t="s">
        <v>294</v>
      </c>
      <c r="N34" t="e">
        <f ca="1">IF(LEN(TRIM(A34))=0,"",IFERROR(_xll.BDP(A34,"PX_LAST"),NA()))</f>
        <v>#N/A</v>
      </c>
    </row>
    <row r="35" spans="1:14" x14ac:dyDescent="0.2">
      <c r="A35" t="s">
        <v>48</v>
      </c>
      <c r="B35" t="s">
        <v>31</v>
      </c>
      <c r="C35" t="s">
        <v>49</v>
      </c>
      <c r="D35" t="s">
        <v>17</v>
      </c>
      <c r="E35" t="s">
        <v>18</v>
      </c>
      <c r="F35" t="s">
        <v>50</v>
      </c>
      <c r="G35" t="s">
        <v>20</v>
      </c>
      <c r="H35" t="s">
        <v>51</v>
      </c>
      <c r="I35" t="str">
        <f ca="1">IF(LEN(TRIM($A35))=0,"",IFERROR(_xll.BDP($A35,"SECURITY_NAME"),""))</f>
        <v/>
      </c>
      <c r="J35" t="s">
        <v>22</v>
      </c>
      <c r="K35" t="s">
        <v>52</v>
      </c>
      <c r="L35" t="s">
        <v>24</v>
      </c>
      <c r="M35" t="s">
        <v>53</v>
      </c>
      <c r="N35" t="e">
        <f ca="1">IF(LEN(TRIM(A35))=0,"",IFERROR(_xll.BDP(A35,"PX_LAST"),NA()))</f>
        <v>#N/A</v>
      </c>
    </row>
    <row r="36" spans="1:14" x14ac:dyDescent="0.2">
      <c r="A36" t="s">
        <v>167</v>
      </c>
      <c r="B36" t="s">
        <v>168</v>
      </c>
      <c r="C36" t="s">
        <v>169</v>
      </c>
      <c r="D36" t="s">
        <v>17</v>
      </c>
      <c r="E36" t="s">
        <v>170</v>
      </c>
      <c r="F36" t="s">
        <v>171</v>
      </c>
      <c r="G36" t="s">
        <v>20</v>
      </c>
      <c r="H36" t="s">
        <v>21</v>
      </c>
      <c r="I36" t="str">
        <f ca="1">IF(LEN(TRIM($A36))=0,"",IFERROR(_xll.BDP($A36,"SECURITY_NAME"),""))</f>
        <v/>
      </c>
      <c r="J36" t="s">
        <v>22</v>
      </c>
      <c r="K36" t="s">
        <v>23</v>
      </c>
      <c r="L36" t="s">
        <v>24</v>
      </c>
      <c r="M36" t="s">
        <v>172</v>
      </c>
      <c r="N36" t="e">
        <f ca="1">IF(LEN(TRIM(A36))=0,"",IFERROR(_xll.BDP(A36,"PX_LAST"),NA()))</f>
        <v>#N/A</v>
      </c>
    </row>
    <row r="37" spans="1:14" x14ac:dyDescent="0.2">
      <c r="A37" t="s">
        <v>26</v>
      </c>
      <c r="B37" t="s">
        <v>15</v>
      </c>
      <c r="C37" t="s">
        <v>16</v>
      </c>
      <c r="D37" t="s">
        <v>17</v>
      </c>
      <c r="E37" t="s">
        <v>18</v>
      </c>
      <c r="F37" t="s">
        <v>19</v>
      </c>
      <c r="G37" t="s">
        <v>20</v>
      </c>
      <c r="H37" t="s">
        <v>21</v>
      </c>
      <c r="I37" t="str">
        <f ca="1">IF(LEN(TRIM($A37))=0,"",IFERROR(_xll.BDP($A37,"SECURITY_NAME"),""))</f>
        <v/>
      </c>
      <c r="J37" t="s">
        <v>22</v>
      </c>
      <c r="K37" t="s">
        <v>23</v>
      </c>
      <c r="L37" t="s">
        <v>24</v>
      </c>
      <c r="M37" t="s">
        <v>25</v>
      </c>
      <c r="N37" t="e">
        <f ca="1">IF(LEN(TRIM(A37))=0,"",IFERROR(_xll.BDP(A37,"PX_LAST"),NA()))</f>
        <v>#N/A</v>
      </c>
    </row>
    <row r="38" spans="1:14" x14ac:dyDescent="0.2">
      <c r="A38" t="s">
        <v>160</v>
      </c>
      <c r="B38" t="s">
        <v>83</v>
      </c>
      <c r="C38" t="s">
        <v>84</v>
      </c>
      <c r="D38" t="s">
        <v>17</v>
      </c>
      <c r="E38" t="s">
        <v>85</v>
      </c>
      <c r="F38" t="s">
        <v>140</v>
      </c>
      <c r="G38" t="s">
        <v>20</v>
      </c>
      <c r="H38" t="s">
        <v>21</v>
      </c>
      <c r="I38" t="str">
        <f ca="1">IF(LEN(TRIM($A38))=0,"",IFERROR(_xll.BDP($A38,"SECURITY_NAME"),""))</f>
        <v/>
      </c>
      <c r="J38" t="s">
        <v>22</v>
      </c>
      <c r="K38" t="s">
        <v>141</v>
      </c>
      <c r="L38" t="s">
        <v>24</v>
      </c>
      <c r="M38" t="s">
        <v>142</v>
      </c>
      <c r="N38" t="e">
        <f ca="1">IF(LEN(TRIM(A38))=0,"",IFERROR(_xll.BDP(A38,"PX_LAST"),NA()))</f>
        <v>#N/A</v>
      </c>
    </row>
    <row r="39" spans="1:14" x14ac:dyDescent="0.2">
      <c r="A39" t="s">
        <v>36</v>
      </c>
      <c r="B39" t="s">
        <v>15</v>
      </c>
      <c r="C39" t="s">
        <v>37</v>
      </c>
      <c r="D39" t="s">
        <v>17</v>
      </c>
      <c r="E39" t="s">
        <v>18</v>
      </c>
      <c r="F39" t="s">
        <v>38</v>
      </c>
      <c r="G39" t="s">
        <v>20</v>
      </c>
      <c r="H39" t="s">
        <v>21</v>
      </c>
      <c r="I39" t="str">
        <f ca="1">IF(LEN(TRIM($A39))=0,"",IFERROR(_xll.BDP($A39,"SECURITY_NAME"),""))</f>
        <v/>
      </c>
      <c r="J39" t="s">
        <v>22</v>
      </c>
      <c r="K39" t="s">
        <v>23</v>
      </c>
      <c r="L39" t="s">
        <v>24</v>
      </c>
      <c r="M39" t="s">
        <v>39</v>
      </c>
      <c r="N39" t="e">
        <f ca="1">IF(LEN(TRIM(A39))=0,"",IFERROR(_xll.BDP(A39,"PX_LAST"),NA()))</f>
        <v>#N/A</v>
      </c>
    </row>
    <row r="40" spans="1:14" x14ac:dyDescent="0.2">
      <c r="A40" t="s">
        <v>476</v>
      </c>
      <c r="B40" t="s">
        <v>75</v>
      </c>
      <c r="C40" t="s">
        <v>477</v>
      </c>
      <c r="D40" t="s">
        <v>455</v>
      </c>
      <c r="E40" t="s">
        <v>278</v>
      </c>
      <c r="F40" t="s">
        <v>478</v>
      </c>
      <c r="G40" t="s">
        <v>479</v>
      </c>
      <c r="H40" t="s">
        <v>278</v>
      </c>
      <c r="I40" t="str">
        <f ca="1">IF(LEN(TRIM($A40))=0,"",IFERROR(_xll.BDP($A40,"SECURITY_NAME"),""))</f>
        <v/>
      </c>
      <c r="J40" t="s">
        <v>22</v>
      </c>
      <c r="K40" t="s">
        <v>23</v>
      </c>
      <c r="L40" t="s">
        <v>24</v>
      </c>
      <c r="M40" t="s">
        <v>480</v>
      </c>
      <c r="N40" t="e">
        <f ca="1">IF(LEN(TRIM(A40))=0,"",IFERROR(_xll.BDP(A40,"PX_LAST"),NA()))</f>
        <v>#N/A</v>
      </c>
    </row>
    <row r="41" spans="1:14" x14ac:dyDescent="0.2">
      <c r="A41" t="s">
        <v>219</v>
      </c>
      <c r="B41" t="s">
        <v>75</v>
      </c>
      <c r="C41" t="s">
        <v>209</v>
      </c>
      <c r="D41" t="s">
        <v>17</v>
      </c>
      <c r="E41" t="s">
        <v>210</v>
      </c>
      <c r="F41" t="s">
        <v>220</v>
      </c>
      <c r="G41" t="s">
        <v>57</v>
      </c>
      <c r="H41" t="s">
        <v>104</v>
      </c>
      <c r="I41" t="str">
        <f ca="1">IF(LEN(TRIM($A41))=0,"",IFERROR(_xll.BDP($A41,"SECURITY_NAME"),""))</f>
        <v/>
      </c>
      <c r="J41" t="s">
        <v>22</v>
      </c>
      <c r="K41" t="s">
        <v>23</v>
      </c>
      <c r="L41" t="s">
        <v>24</v>
      </c>
      <c r="M41" t="s">
        <v>221</v>
      </c>
      <c r="N41" t="e">
        <f ca="1">IF(LEN(TRIM(A41))=0,"",IFERROR(_xll.BDP(A41,"PX_LAST"),NA()))</f>
        <v>#N/A</v>
      </c>
    </row>
    <row r="42" spans="1:14" x14ac:dyDescent="0.2">
      <c r="A42" t="s">
        <v>274</v>
      </c>
      <c r="B42" t="s">
        <v>168</v>
      </c>
      <c r="C42" t="s">
        <v>267</v>
      </c>
      <c r="D42" t="s">
        <v>17</v>
      </c>
      <c r="E42" t="s">
        <v>210</v>
      </c>
      <c r="F42" t="s">
        <v>267</v>
      </c>
      <c r="G42" t="s">
        <v>272</v>
      </c>
      <c r="H42" t="s">
        <v>275</v>
      </c>
      <c r="I42" t="str">
        <f ca="1">IF(LEN(TRIM($A42))=0,"",IFERROR(_xll.BDP($A42,"SECURITY_NAME"),""))</f>
        <v/>
      </c>
      <c r="J42" t="s">
        <v>22</v>
      </c>
      <c r="K42" t="s">
        <v>34</v>
      </c>
      <c r="L42" t="s">
        <v>24</v>
      </c>
      <c r="M42" t="s">
        <v>270</v>
      </c>
      <c r="N42" t="e">
        <f ca="1">IF(LEN(TRIM(A42))=0,"",IFERROR(_xll.BDP(A42,"PX_LAST"),NA()))</f>
        <v>#N/A</v>
      </c>
    </row>
    <row r="43" spans="1:14" x14ac:dyDescent="0.2">
      <c r="A43" t="s">
        <v>28</v>
      </c>
      <c r="B43" t="s">
        <v>15</v>
      </c>
      <c r="C43" t="s">
        <v>16</v>
      </c>
      <c r="D43" t="s">
        <v>17</v>
      </c>
      <c r="E43" t="s">
        <v>18</v>
      </c>
      <c r="F43" t="s">
        <v>19</v>
      </c>
      <c r="G43" t="s">
        <v>20</v>
      </c>
      <c r="H43" t="s">
        <v>21</v>
      </c>
      <c r="I43" t="str">
        <f ca="1">IF(LEN(TRIM($A43))=0,"",IFERROR(_xll.BDP($A43,"SECURITY_NAME"),""))</f>
        <v/>
      </c>
      <c r="J43" t="s">
        <v>22</v>
      </c>
      <c r="K43" t="s">
        <v>23</v>
      </c>
      <c r="L43" t="s">
        <v>24</v>
      </c>
      <c r="M43" t="s">
        <v>25</v>
      </c>
      <c r="N43" t="e">
        <f ca="1">IF(LEN(TRIM(A43))=0,"",IFERROR(_xll.BDP(A43,"PX_LAST"),NA()))</f>
        <v>#N/A</v>
      </c>
    </row>
    <row r="44" spans="1:14" x14ac:dyDescent="0.2">
      <c r="A44" t="s">
        <v>242</v>
      </c>
      <c r="B44" t="s">
        <v>197</v>
      </c>
      <c r="C44" t="s">
        <v>243</v>
      </c>
      <c r="D44" t="s">
        <v>17</v>
      </c>
      <c r="E44" t="s">
        <v>210</v>
      </c>
      <c r="F44" t="s">
        <v>244</v>
      </c>
      <c r="G44" t="s">
        <v>20</v>
      </c>
      <c r="H44" t="s">
        <v>21</v>
      </c>
      <c r="I44" t="str">
        <f ca="1">IF(LEN(TRIM($A44))=0,"",IFERROR(_xll.BDP($A44,"SECURITY_NAME"),""))</f>
        <v/>
      </c>
      <c r="J44" t="s">
        <v>22</v>
      </c>
      <c r="K44" t="s">
        <v>52</v>
      </c>
      <c r="L44" t="s">
        <v>24</v>
      </c>
      <c r="M44" t="s">
        <v>245</v>
      </c>
      <c r="N44" t="e">
        <f ca="1">IF(LEN(TRIM(A44))=0,"",IFERROR(_xll.BDP(A44,"PX_LAST"),NA()))</f>
        <v>#N/A</v>
      </c>
    </row>
    <row r="45" spans="1:14" x14ac:dyDescent="0.2">
      <c r="A45" t="s">
        <v>326</v>
      </c>
      <c r="B45" t="s">
        <v>197</v>
      </c>
      <c r="C45" t="s">
        <v>322</v>
      </c>
      <c r="D45" t="s">
        <v>17</v>
      </c>
      <c r="E45" t="s">
        <v>323</v>
      </c>
      <c r="F45" t="s">
        <v>21</v>
      </c>
      <c r="G45" t="s">
        <v>20</v>
      </c>
      <c r="H45" t="s">
        <v>21</v>
      </c>
      <c r="I45" t="str">
        <f ca="1">IF(LEN(TRIM($A45))=0,"",IFERROR(_xll.BDP($A45,"SECURITY_NAME"),""))</f>
        <v/>
      </c>
      <c r="J45" t="s">
        <v>22</v>
      </c>
      <c r="K45" t="s">
        <v>23</v>
      </c>
      <c r="L45" t="s">
        <v>24</v>
      </c>
      <c r="M45" t="s">
        <v>324</v>
      </c>
      <c r="N45" t="e">
        <f ca="1">IF(LEN(TRIM(A45))=0,"",IFERROR(_xll.BDP(A45,"PX_LAST"),NA()))</f>
        <v>#N/A</v>
      </c>
    </row>
    <row r="46" spans="1:14" x14ac:dyDescent="0.2">
      <c r="A46" t="s">
        <v>249</v>
      </c>
      <c r="B46" t="s">
        <v>197</v>
      </c>
      <c r="C46" t="s">
        <v>243</v>
      </c>
      <c r="D46" t="s">
        <v>17</v>
      </c>
      <c r="E46" t="s">
        <v>210</v>
      </c>
      <c r="F46" t="s">
        <v>250</v>
      </c>
      <c r="G46" t="s">
        <v>57</v>
      </c>
      <c r="H46" t="s">
        <v>251</v>
      </c>
      <c r="I46" t="str">
        <f ca="1">IF(LEN(TRIM($A46))=0,"",IFERROR(_xll.BDP($A46,"SECURITY_NAME"),""))</f>
        <v/>
      </c>
      <c r="J46" t="s">
        <v>22</v>
      </c>
      <c r="K46" t="s">
        <v>23</v>
      </c>
      <c r="L46" t="s">
        <v>24</v>
      </c>
      <c r="M46" t="s">
        <v>252</v>
      </c>
      <c r="N46" t="e">
        <f ca="1">IF(LEN(TRIM(A46))=0,"",IFERROR(_xll.BDP(A46,"PX_LAST"),NA()))</f>
        <v>#N/A</v>
      </c>
    </row>
    <row r="47" spans="1:14" x14ac:dyDescent="0.2">
      <c r="A47" t="s">
        <v>424</v>
      </c>
      <c r="B47" t="s">
        <v>75</v>
      </c>
      <c r="C47" t="s">
        <v>425</v>
      </c>
      <c r="D47" t="s">
        <v>402</v>
      </c>
      <c r="E47" t="s">
        <v>278</v>
      </c>
      <c r="F47" t="s">
        <v>426</v>
      </c>
      <c r="G47" t="s">
        <v>272</v>
      </c>
      <c r="H47" t="s">
        <v>21</v>
      </c>
      <c r="I47" t="str">
        <f ca="1">IF(LEN(TRIM($A47))=0,"",IFERROR(_xll.BDP($A47,"SECURITY_NAME"),""))</f>
        <v/>
      </c>
      <c r="J47" t="s">
        <v>22</v>
      </c>
      <c r="K47" t="s">
        <v>34</v>
      </c>
      <c r="L47" t="s">
        <v>24</v>
      </c>
      <c r="M47" t="s">
        <v>427</v>
      </c>
      <c r="N47" t="e">
        <f ca="1">IF(LEN(TRIM(A47))=0,"",IFERROR(_xll.BDP(A47,"PX_LAST"),NA()))</f>
        <v>#N/A</v>
      </c>
    </row>
    <row r="48" spans="1:14" x14ac:dyDescent="0.2">
      <c r="A48" t="s">
        <v>420</v>
      </c>
      <c r="B48" t="s">
        <v>75</v>
      </c>
      <c r="C48" t="s">
        <v>421</v>
      </c>
      <c r="D48" t="s">
        <v>402</v>
      </c>
      <c r="E48" t="s">
        <v>278</v>
      </c>
      <c r="F48" t="s">
        <v>422</v>
      </c>
      <c r="G48" t="s">
        <v>20</v>
      </c>
      <c r="H48" t="s">
        <v>21</v>
      </c>
      <c r="I48" t="str">
        <f ca="1">IF(LEN(TRIM($A48))=0,"",IFERROR(_xll.BDP($A48,"SECURITY_NAME"),""))</f>
        <v/>
      </c>
      <c r="J48" t="s">
        <v>22</v>
      </c>
      <c r="K48" t="s">
        <v>23</v>
      </c>
      <c r="L48" t="s">
        <v>24</v>
      </c>
      <c r="M48" t="s">
        <v>423</v>
      </c>
      <c r="N48" t="e">
        <f ca="1">IF(LEN(TRIM(A48))=0,"",IFERROR(_xll.BDP(A48,"PX_LAST"),NA()))</f>
        <v>#N/A</v>
      </c>
    </row>
    <row r="49" spans="1:14" x14ac:dyDescent="0.2">
      <c r="A49" t="s">
        <v>346</v>
      </c>
      <c r="B49" t="s">
        <v>75</v>
      </c>
      <c r="C49" t="s">
        <v>341</v>
      </c>
      <c r="D49" t="s">
        <v>342</v>
      </c>
      <c r="E49" t="s">
        <v>278</v>
      </c>
      <c r="F49" t="s">
        <v>347</v>
      </c>
      <c r="G49" t="s">
        <v>20</v>
      </c>
      <c r="H49" t="s">
        <v>21</v>
      </c>
      <c r="I49" t="str">
        <f ca="1">IF(LEN(TRIM($A49))=0,"",IFERROR(_xll.BDP($A49,"SECURITY_NAME"),""))</f>
        <v/>
      </c>
      <c r="J49" t="s">
        <v>22</v>
      </c>
      <c r="K49" t="s">
        <v>344</v>
      </c>
      <c r="L49" t="s">
        <v>24</v>
      </c>
      <c r="M49" t="s">
        <v>348</v>
      </c>
      <c r="N49" t="e">
        <f ca="1">IF(LEN(TRIM(A49))=0,"",IFERROR(_xll.BDP(A49,"PX_LAST"),NA()))</f>
        <v>#N/A</v>
      </c>
    </row>
    <row r="50" spans="1:14" x14ac:dyDescent="0.2">
      <c r="A50" t="s">
        <v>340</v>
      </c>
      <c r="B50" t="s">
        <v>75</v>
      </c>
      <c r="C50" t="s">
        <v>341</v>
      </c>
      <c r="D50" t="s">
        <v>342</v>
      </c>
      <c r="E50" t="s">
        <v>278</v>
      </c>
      <c r="F50" t="s">
        <v>343</v>
      </c>
      <c r="G50" t="s">
        <v>20</v>
      </c>
      <c r="H50" t="s">
        <v>21</v>
      </c>
      <c r="I50" t="str">
        <f ca="1">IF(LEN(TRIM($A50))=0,"",IFERROR(_xll.BDP($A50,"SECURITY_NAME"),""))</f>
        <v/>
      </c>
      <c r="J50" t="s">
        <v>22</v>
      </c>
      <c r="K50" t="s">
        <v>344</v>
      </c>
      <c r="L50" t="s">
        <v>24</v>
      </c>
      <c r="M50" t="s">
        <v>345</v>
      </c>
      <c r="N50" t="e">
        <f ca="1">IF(LEN(TRIM(A50))=0,"",IFERROR(_xll.BDP(A50,"PX_LAST"),NA()))</f>
        <v>#N/A</v>
      </c>
    </row>
    <row r="51" spans="1:14" x14ac:dyDescent="0.2">
      <c r="A51" t="s">
        <v>441</v>
      </c>
      <c r="B51" t="s">
        <v>75</v>
      </c>
      <c r="C51" t="s">
        <v>378</v>
      </c>
      <c r="D51" t="s">
        <v>402</v>
      </c>
      <c r="E51" t="s">
        <v>278</v>
      </c>
      <c r="F51" t="s">
        <v>447</v>
      </c>
      <c r="G51" t="s">
        <v>87</v>
      </c>
      <c r="H51" t="s">
        <v>224</v>
      </c>
      <c r="I51" t="str">
        <f ca="1">IF(LEN(TRIM($A51))=0,"",IFERROR(_xll.BDP($A51,"SECURITY_NAME"),""))</f>
        <v/>
      </c>
      <c r="J51" t="s">
        <v>22</v>
      </c>
      <c r="K51" t="s">
        <v>34</v>
      </c>
      <c r="L51" t="s">
        <v>24</v>
      </c>
      <c r="M51" t="s">
        <v>448</v>
      </c>
      <c r="N51" t="e">
        <f ca="1">IF(LEN(TRIM(A51))=0,"",IFERROR(_xll.BDP(A51,"PX_LAST"),NA()))</f>
        <v>#N/A</v>
      </c>
    </row>
    <row r="52" spans="1:14" x14ac:dyDescent="0.2">
      <c r="A52" t="s">
        <v>145</v>
      </c>
      <c r="B52" t="s">
        <v>83</v>
      </c>
      <c r="C52" t="s">
        <v>84</v>
      </c>
      <c r="D52" t="s">
        <v>17</v>
      </c>
      <c r="E52" t="s">
        <v>85</v>
      </c>
      <c r="F52" t="s">
        <v>140</v>
      </c>
      <c r="G52" t="s">
        <v>20</v>
      </c>
      <c r="H52" t="s">
        <v>21</v>
      </c>
      <c r="I52" t="str">
        <f ca="1">IF(LEN(TRIM($A52))=0,"",IFERROR(_xll.BDP($A52,"SECURITY_NAME"),""))</f>
        <v/>
      </c>
      <c r="J52" t="s">
        <v>22</v>
      </c>
      <c r="K52" t="s">
        <v>141</v>
      </c>
      <c r="L52" t="s">
        <v>24</v>
      </c>
      <c r="M52" t="s">
        <v>142</v>
      </c>
      <c r="N52" t="e">
        <f ca="1">IF(LEN(TRIM(A52))=0,"",IFERROR(_xll.BDP(A52,"PX_LAST"),NA()))</f>
        <v>#N/A</v>
      </c>
    </row>
    <row r="53" spans="1:14" x14ac:dyDescent="0.2">
      <c r="A53" t="s">
        <v>163</v>
      </c>
      <c r="B53" t="s">
        <v>83</v>
      </c>
      <c r="C53" t="s">
        <v>84</v>
      </c>
      <c r="D53" t="s">
        <v>17</v>
      </c>
      <c r="E53" t="s">
        <v>85</v>
      </c>
      <c r="F53" t="s">
        <v>140</v>
      </c>
      <c r="G53" t="s">
        <v>20</v>
      </c>
      <c r="H53" t="s">
        <v>21</v>
      </c>
      <c r="I53" t="str">
        <f ca="1">IF(LEN(TRIM($A53))=0,"",IFERROR(_xll.BDP($A53,"SECURITY_NAME"),""))</f>
        <v/>
      </c>
      <c r="J53" t="s">
        <v>22</v>
      </c>
      <c r="K53" t="s">
        <v>141</v>
      </c>
      <c r="L53" t="s">
        <v>24</v>
      </c>
      <c r="M53" t="s">
        <v>142</v>
      </c>
      <c r="N53" t="e">
        <f ca="1">IF(LEN(TRIM(A53))=0,"",IFERROR(_xll.BDP(A53,"PX_LAST"),NA()))</f>
        <v>#N/A</v>
      </c>
    </row>
    <row r="54" spans="1:14" x14ac:dyDescent="0.2">
      <c r="A54" t="s">
        <v>328</v>
      </c>
      <c r="B54" t="s">
        <v>75</v>
      </c>
      <c r="C54" t="s">
        <v>329</v>
      </c>
      <c r="D54" t="s">
        <v>17</v>
      </c>
      <c r="E54" t="s">
        <v>323</v>
      </c>
      <c r="F54" t="s">
        <v>330</v>
      </c>
      <c r="G54" t="s">
        <v>57</v>
      </c>
      <c r="H54" t="s">
        <v>110</v>
      </c>
      <c r="I54" t="str">
        <f ca="1">IF(LEN(TRIM($A54))=0,"",IFERROR(_xll.BDP($A54,"SECURITY_NAME"),""))</f>
        <v/>
      </c>
      <c r="J54" t="s">
        <v>22</v>
      </c>
      <c r="K54" t="s">
        <v>23</v>
      </c>
      <c r="L54" t="s">
        <v>24</v>
      </c>
      <c r="M54" t="s">
        <v>331</v>
      </c>
      <c r="N54" t="e">
        <f ca="1">IF(LEN(TRIM(A54))=0,"",IFERROR(_xll.BDP(A54,"PX_LAST"),NA()))</f>
        <v>#N/A</v>
      </c>
    </row>
    <row r="55" spans="1:14" x14ac:dyDescent="0.2">
      <c r="A55" t="s">
        <v>396</v>
      </c>
      <c r="B55" t="s">
        <v>75</v>
      </c>
      <c r="C55" t="s">
        <v>397</v>
      </c>
      <c r="D55" t="s">
        <v>342</v>
      </c>
      <c r="E55" t="s">
        <v>278</v>
      </c>
      <c r="F55" t="s">
        <v>398</v>
      </c>
      <c r="G55" t="s">
        <v>20</v>
      </c>
      <c r="H55" t="s">
        <v>21</v>
      </c>
      <c r="I55" t="str">
        <f ca="1">IF(LEN(TRIM($A55))=0,"",IFERROR(_xll.BDP($A55,"SECURITY_NAME"),""))</f>
        <v/>
      </c>
      <c r="J55" t="s">
        <v>22</v>
      </c>
      <c r="K55" t="s">
        <v>141</v>
      </c>
      <c r="L55" t="s">
        <v>24</v>
      </c>
      <c r="M55" t="s">
        <v>399</v>
      </c>
      <c r="N55" t="e">
        <f ca="1">IF(LEN(TRIM(A55))=0,"",IFERROR(_xll.BDP(A55,"PX_LAST"),NA()))</f>
        <v>#N/A</v>
      </c>
    </row>
    <row r="56" spans="1:14" x14ac:dyDescent="0.2">
      <c r="A56" t="s">
        <v>464</v>
      </c>
      <c r="B56" t="s">
        <v>75</v>
      </c>
      <c r="C56" t="s">
        <v>465</v>
      </c>
      <c r="D56" t="s">
        <v>455</v>
      </c>
      <c r="E56" t="s">
        <v>278</v>
      </c>
      <c r="F56" t="s">
        <v>466</v>
      </c>
      <c r="G56" t="s">
        <v>255</v>
      </c>
      <c r="H56" t="s">
        <v>278</v>
      </c>
      <c r="I56" t="str">
        <f ca="1">IF(LEN(TRIM($A56))=0,"",IFERROR(_xll.BDP($A56,"SECURITY_NAME"),""))</f>
        <v/>
      </c>
      <c r="J56" t="s">
        <v>22</v>
      </c>
      <c r="K56" t="s">
        <v>467</v>
      </c>
      <c r="L56" t="s">
        <v>24</v>
      </c>
      <c r="M56" t="s">
        <v>468</v>
      </c>
      <c r="N56" t="e">
        <f ca="1">IF(LEN(TRIM(A56))=0,"",IFERROR(_xll.BDP(A56,"PX_LAST"),NA()))</f>
        <v>#N/A</v>
      </c>
    </row>
    <row r="57" spans="1:14" x14ac:dyDescent="0.2">
      <c r="A57" t="s">
        <v>318</v>
      </c>
      <c r="B57" t="s">
        <v>21</v>
      </c>
      <c r="C57" t="s">
        <v>309</v>
      </c>
      <c r="D57" t="s">
        <v>17</v>
      </c>
      <c r="E57" t="s">
        <v>300</v>
      </c>
      <c r="F57" t="s">
        <v>310</v>
      </c>
      <c r="G57" t="s">
        <v>20</v>
      </c>
      <c r="H57" t="s">
        <v>21</v>
      </c>
      <c r="I57" t="str">
        <f ca="1">IF(LEN(TRIM($A57))=0,"",IFERROR(_xll.BDP($A57,"SECURITY_NAME"),""))</f>
        <v/>
      </c>
      <c r="J57" t="s">
        <v>22</v>
      </c>
      <c r="K57" t="s">
        <v>141</v>
      </c>
      <c r="L57" t="s">
        <v>24</v>
      </c>
      <c r="M57" t="s">
        <v>311</v>
      </c>
      <c r="N57" t="e">
        <f ca="1">IF(LEN(TRIM(A57))=0,"",IFERROR(_xll.BDP(A57,"PX_LAST"),NA()))</f>
        <v>#N/A</v>
      </c>
    </row>
    <row r="58" spans="1:14" x14ac:dyDescent="0.2">
      <c r="A58" t="s">
        <v>276</v>
      </c>
      <c r="B58" t="s">
        <v>75</v>
      </c>
      <c r="C58" t="s">
        <v>277</v>
      </c>
      <c r="D58" t="s">
        <v>17</v>
      </c>
      <c r="E58" t="s">
        <v>210</v>
      </c>
      <c r="F58" t="s">
        <v>267</v>
      </c>
      <c r="G58" t="s">
        <v>255</v>
      </c>
      <c r="H58" t="s">
        <v>278</v>
      </c>
      <c r="I58" t="str">
        <f ca="1">IF(LEN(TRIM($A58))=0,"",IFERROR(_xll.BDP($A58,"SECURITY_NAME"),""))</f>
        <v/>
      </c>
      <c r="J58" t="s">
        <v>22</v>
      </c>
      <c r="K58" t="s">
        <v>34</v>
      </c>
      <c r="L58" t="s">
        <v>24</v>
      </c>
      <c r="M58" t="s">
        <v>270</v>
      </c>
      <c r="N58" t="e">
        <f ca="1">IF(LEN(TRIM(A58))=0,"",IFERROR(_xll.BDP(A58,"PX_LAST"),NA()))</f>
        <v>#N/A</v>
      </c>
    </row>
    <row r="59" spans="1:14" x14ac:dyDescent="0.2">
      <c r="A59" t="s">
        <v>263</v>
      </c>
      <c r="B59" t="s">
        <v>197</v>
      </c>
      <c r="C59" t="s">
        <v>261</v>
      </c>
      <c r="D59" t="s">
        <v>17</v>
      </c>
      <c r="E59" t="s">
        <v>210</v>
      </c>
      <c r="F59" t="s">
        <v>264</v>
      </c>
      <c r="G59" t="s">
        <v>57</v>
      </c>
      <c r="H59" t="s">
        <v>81</v>
      </c>
      <c r="I59" t="str">
        <f ca="1">IF(LEN(TRIM($A59))=0,"",IFERROR(_xll.BDP($A59,"SECURITY_NAME"),""))</f>
        <v/>
      </c>
      <c r="J59" t="s">
        <v>22</v>
      </c>
      <c r="K59" t="s">
        <v>23</v>
      </c>
      <c r="L59" t="s">
        <v>24</v>
      </c>
      <c r="M59" t="s">
        <v>262</v>
      </c>
      <c r="N59" t="e">
        <f ca="1">IF(LEN(TRIM(A59))=0,"",IFERROR(_xll.BDP(A59,"PX_LAST"),NA()))</f>
        <v>#N/A</v>
      </c>
    </row>
    <row r="60" spans="1:14" x14ac:dyDescent="0.2">
      <c r="A60" t="s">
        <v>307</v>
      </c>
      <c r="B60" t="s">
        <v>83</v>
      </c>
      <c r="C60" t="s">
        <v>299</v>
      </c>
      <c r="D60" t="s">
        <v>17</v>
      </c>
      <c r="E60" t="s">
        <v>300</v>
      </c>
      <c r="F60" t="s">
        <v>301</v>
      </c>
      <c r="G60" t="s">
        <v>255</v>
      </c>
      <c r="H60" t="s">
        <v>278</v>
      </c>
      <c r="I60" t="str">
        <f ca="1">IF(LEN(TRIM($A60))=0,"",IFERROR(_xll.BDP($A60,"SECURITY_NAME"),""))</f>
        <v/>
      </c>
      <c r="J60" t="s">
        <v>22</v>
      </c>
      <c r="K60" t="s">
        <v>34</v>
      </c>
      <c r="L60" t="s">
        <v>24</v>
      </c>
      <c r="M60" t="s">
        <v>302</v>
      </c>
      <c r="N60" t="e">
        <f ca="1">IF(LEN(TRIM(A60))=0,"",IFERROR(_xll.BDP(A60,"PX_LAST"),NA()))</f>
        <v>#N/A</v>
      </c>
    </row>
    <row r="61" spans="1:14" x14ac:dyDescent="0.2">
      <c r="A61" t="s">
        <v>213</v>
      </c>
      <c r="B61" t="s">
        <v>75</v>
      </c>
      <c r="C61" t="s">
        <v>209</v>
      </c>
      <c r="D61" t="s">
        <v>17</v>
      </c>
      <c r="E61" t="s">
        <v>210</v>
      </c>
      <c r="F61" t="s">
        <v>214</v>
      </c>
      <c r="G61" t="s">
        <v>20</v>
      </c>
      <c r="H61" t="s">
        <v>21</v>
      </c>
      <c r="I61" t="str">
        <f ca="1">IF(LEN(TRIM($A61))=0,"",IFERROR(_xll.BDP($A61,"SECURITY_NAME"),""))</f>
        <v/>
      </c>
      <c r="J61" t="s">
        <v>22</v>
      </c>
      <c r="K61" t="s">
        <v>52</v>
      </c>
      <c r="L61" t="s">
        <v>24</v>
      </c>
      <c r="M61" t="s">
        <v>215</v>
      </c>
      <c r="N61" t="e">
        <f ca="1">IF(LEN(TRIM(A61))=0,"",IFERROR(_xll.BDP(A61,"PX_LAST"),NA()))</f>
        <v>#N/A</v>
      </c>
    </row>
    <row r="62" spans="1:14" x14ac:dyDescent="0.2">
      <c r="A62" t="s">
        <v>432</v>
      </c>
      <c r="B62" t="s">
        <v>75</v>
      </c>
      <c r="C62" t="s">
        <v>366</v>
      </c>
      <c r="D62" t="s">
        <v>402</v>
      </c>
      <c r="E62" t="s">
        <v>278</v>
      </c>
      <c r="F62" t="s">
        <v>433</v>
      </c>
      <c r="G62" t="s">
        <v>57</v>
      </c>
      <c r="H62" t="s">
        <v>81</v>
      </c>
      <c r="I62" t="str">
        <f ca="1">IF(LEN(TRIM($A62))=0,"",IFERROR(_xll.BDP($A62,"SECURITY_NAME"),""))</f>
        <v/>
      </c>
      <c r="J62" t="s">
        <v>22</v>
      </c>
      <c r="K62" t="s">
        <v>141</v>
      </c>
      <c r="L62" t="s">
        <v>24</v>
      </c>
      <c r="M62" t="s">
        <v>434</v>
      </c>
      <c r="N62" t="e">
        <f ca="1">IF(LEN(TRIM(A62))=0,"",IFERROR(_xll.BDP(A62,"PX_LAST"),NA()))</f>
        <v>#N/A</v>
      </c>
    </row>
    <row r="63" spans="1:14" x14ac:dyDescent="0.2">
      <c r="A63" t="s">
        <v>321</v>
      </c>
      <c r="B63" t="s">
        <v>75</v>
      </c>
      <c r="C63" t="s">
        <v>322</v>
      </c>
      <c r="D63" t="s">
        <v>17</v>
      </c>
      <c r="E63" t="s">
        <v>323</v>
      </c>
      <c r="F63" t="s">
        <v>21</v>
      </c>
      <c r="G63" t="s">
        <v>20</v>
      </c>
      <c r="H63" t="s">
        <v>21</v>
      </c>
      <c r="I63" t="str">
        <f ca="1">IF(LEN(TRIM($A63))=0,"",IFERROR(_xll.BDP($A63,"SECURITY_NAME"),""))</f>
        <v/>
      </c>
      <c r="J63" t="s">
        <v>22</v>
      </c>
      <c r="K63" t="s">
        <v>23</v>
      </c>
      <c r="L63" t="s">
        <v>24</v>
      </c>
      <c r="M63" t="s">
        <v>324</v>
      </c>
      <c r="N63" t="e">
        <f ca="1">IF(LEN(TRIM(A63))=0,"",IFERROR(_xll.BDP(A63,"PX_LAST"),NA()))</f>
        <v>#N/A</v>
      </c>
    </row>
    <row r="64" spans="1:14" x14ac:dyDescent="0.2">
      <c r="A64" t="s">
        <v>325</v>
      </c>
      <c r="B64" t="s">
        <v>75</v>
      </c>
      <c r="C64" t="s">
        <v>322</v>
      </c>
      <c r="D64" t="s">
        <v>17</v>
      </c>
      <c r="E64" t="s">
        <v>323</v>
      </c>
      <c r="F64" t="s">
        <v>21</v>
      </c>
      <c r="G64" t="s">
        <v>20</v>
      </c>
      <c r="H64" t="s">
        <v>21</v>
      </c>
      <c r="I64" t="str">
        <f ca="1">IF(LEN(TRIM($A64))=0,"",IFERROR(_xll.BDP($A64,"SECURITY_NAME"),""))</f>
        <v/>
      </c>
      <c r="J64" t="s">
        <v>22</v>
      </c>
      <c r="K64" t="s">
        <v>23</v>
      </c>
      <c r="L64" t="s">
        <v>24</v>
      </c>
      <c r="M64" t="s">
        <v>324</v>
      </c>
      <c r="N64" t="e">
        <f ca="1">IF(LEN(TRIM(A64))=0,"",IFERROR(_xll.BDP(A64,"PX_LAST"),NA()))</f>
        <v>#N/A</v>
      </c>
    </row>
    <row r="65" spans="1:14" x14ac:dyDescent="0.2">
      <c r="A65" t="s">
        <v>70</v>
      </c>
      <c r="B65" t="s">
        <v>60</v>
      </c>
      <c r="C65" t="s">
        <v>61</v>
      </c>
      <c r="D65" t="s">
        <v>17</v>
      </c>
      <c r="E65" t="s">
        <v>18</v>
      </c>
      <c r="F65" t="s">
        <v>62</v>
      </c>
      <c r="G65" t="s">
        <v>20</v>
      </c>
      <c r="H65" t="s">
        <v>21</v>
      </c>
      <c r="I65" t="str">
        <f ca="1">IF(LEN(TRIM($A65))=0,"",IFERROR(_xll.BDP($A65,"SECURITY_NAME"),""))</f>
        <v/>
      </c>
      <c r="J65" t="s">
        <v>22</v>
      </c>
      <c r="K65" t="s">
        <v>23</v>
      </c>
      <c r="L65" t="s">
        <v>24</v>
      </c>
      <c r="M65" t="s">
        <v>63</v>
      </c>
      <c r="N65" t="e">
        <f ca="1">IF(LEN(TRIM(A65))=0,"",IFERROR(_xll.BDP(A65,"PX_LAST"),NA()))</f>
        <v>#N/A</v>
      </c>
    </row>
    <row r="66" spans="1:14" x14ac:dyDescent="0.2">
      <c r="A66" t="s">
        <v>287</v>
      </c>
      <c r="B66" t="s">
        <v>282</v>
      </c>
      <c r="C66" t="s">
        <v>283</v>
      </c>
      <c r="D66" t="s">
        <v>17</v>
      </c>
      <c r="E66" t="s">
        <v>210</v>
      </c>
      <c r="F66" t="s">
        <v>284</v>
      </c>
      <c r="G66" t="s">
        <v>272</v>
      </c>
      <c r="H66" t="s">
        <v>273</v>
      </c>
      <c r="I66" t="str">
        <f ca="1">IF(LEN(TRIM($A66))=0,"",IFERROR(_xll.BDP($A66,"SECURITY_NAME"),""))</f>
        <v/>
      </c>
      <c r="J66" t="s">
        <v>22</v>
      </c>
      <c r="K66" t="s">
        <v>182</v>
      </c>
      <c r="L66" t="s">
        <v>24</v>
      </c>
      <c r="M66" t="s">
        <v>285</v>
      </c>
      <c r="N66" t="e">
        <f ca="1">IF(LEN(TRIM(A66))=0,"",IFERROR(_xll.BDP(A66,"PX_LAST"),NA()))</f>
        <v>#N/A</v>
      </c>
    </row>
    <row r="67" spans="1:14" x14ac:dyDescent="0.2">
      <c r="A67" t="s">
        <v>288</v>
      </c>
      <c r="B67" t="s">
        <v>282</v>
      </c>
      <c r="C67" t="s">
        <v>283</v>
      </c>
      <c r="D67" t="s">
        <v>17</v>
      </c>
      <c r="E67" t="s">
        <v>210</v>
      </c>
      <c r="F67" t="s">
        <v>284</v>
      </c>
      <c r="G67" t="s">
        <v>272</v>
      </c>
      <c r="H67" t="s">
        <v>273</v>
      </c>
      <c r="I67" t="str">
        <f ca="1">IF(LEN(TRIM($A67))=0,"",IFERROR(_xll.BDP($A67,"SECURITY_NAME"),""))</f>
        <v/>
      </c>
      <c r="J67" t="s">
        <v>22</v>
      </c>
      <c r="K67" t="s">
        <v>182</v>
      </c>
      <c r="L67" t="s">
        <v>24</v>
      </c>
      <c r="M67" t="s">
        <v>285</v>
      </c>
      <c r="N67" t="e">
        <f ca="1">IF(LEN(TRIM(A67))=0,"",IFERROR(_xll.BDP(A67,"PX_LAST"),NA()))</f>
        <v>#N/A</v>
      </c>
    </row>
    <row r="68" spans="1:14" x14ac:dyDescent="0.2">
      <c r="A68" t="s">
        <v>271</v>
      </c>
      <c r="B68" t="s">
        <v>168</v>
      </c>
      <c r="C68" t="s">
        <v>267</v>
      </c>
      <c r="D68" t="s">
        <v>17</v>
      </c>
      <c r="E68" t="s">
        <v>210</v>
      </c>
      <c r="F68" t="s">
        <v>267</v>
      </c>
      <c r="G68" t="s">
        <v>272</v>
      </c>
      <c r="H68" t="s">
        <v>273</v>
      </c>
      <c r="I68" t="str">
        <f ca="1">IF(LEN(TRIM($A68))=0,"",IFERROR(_xll.BDP($A68,"SECURITY_NAME"),""))</f>
        <v/>
      </c>
      <c r="J68" t="s">
        <v>22</v>
      </c>
      <c r="K68" t="s">
        <v>34</v>
      </c>
      <c r="L68" t="s">
        <v>24</v>
      </c>
      <c r="M68" t="s">
        <v>270</v>
      </c>
      <c r="N68" t="e">
        <f ca="1">IF(LEN(TRIM(A68))=0,"",IFERROR(_xll.BDP(A68,"PX_LAST"),NA()))</f>
        <v>#N/A</v>
      </c>
    </row>
    <row r="69" spans="1:14" x14ac:dyDescent="0.2">
      <c r="A69" t="s">
        <v>173</v>
      </c>
      <c r="B69" t="s">
        <v>168</v>
      </c>
      <c r="C69" t="s">
        <v>174</v>
      </c>
      <c r="D69" t="s">
        <v>17</v>
      </c>
      <c r="E69" t="s">
        <v>170</v>
      </c>
      <c r="F69" t="s">
        <v>171</v>
      </c>
      <c r="G69" t="s">
        <v>57</v>
      </c>
      <c r="H69" t="s">
        <v>81</v>
      </c>
      <c r="I69" t="str">
        <f ca="1">IF(LEN(TRIM($A69))=0,"",IFERROR(_xll.BDP($A69,"SECURITY_NAME"),""))</f>
        <v/>
      </c>
      <c r="J69" t="s">
        <v>22</v>
      </c>
      <c r="K69" t="s">
        <v>23</v>
      </c>
      <c r="L69" t="s">
        <v>24</v>
      </c>
      <c r="M69" t="s">
        <v>172</v>
      </c>
      <c r="N69" t="e">
        <f ca="1">IF(LEN(TRIM(A69))=0,"",IFERROR(_xll.BDP(A69,"PX_LAST"),NA()))</f>
        <v>#N/A</v>
      </c>
    </row>
    <row r="70" spans="1:14" x14ac:dyDescent="0.2">
      <c r="A70" t="s">
        <v>40</v>
      </c>
      <c r="B70" t="s">
        <v>15</v>
      </c>
      <c r="C70" t="s">
        <v>37</v>
      </c>
      <c r="D70" t="s">
        <v>17</v>
      </c>
      <c r="E70" t="s">
        <v>18</v>
      </c>
      <c r="F70" t="s">
        <v>38</v>
      </c>
      <c r="G70" t="s">
        <v>20</v>
      </c>
      <c r="H70" t="s">
        <v>21</v>
      </c>
      <c r="I70" t="str">
        <f ca="1">IF(LEN(TRIM($A70))=0,"",IFERROR(_xll.BDP($A70,"SECURITY_NAME"),""))</f>
        <v/>
      </c>
      <c r="J70" t="s">
        <v>22</v>
      </c>
      <c r="K70" t="s">
        <v>23</v>
      </c>
      <c r="L70" t="s">
        <v>24</v>
      </c>
      <c r="M70" t="s">
        <v>39</v>
      </c>
      <c r="N70" t="e">
        <f ca="1">IF(LEN(TRIM(A70))=0,"",IFERROR(_xll.BDP(A70,"PX_LAST"),NA()))</f>
        <v>#N/A</v>
      </c>
    </row>
    <row r="71" spans="1:14" x14ac:dyDescent="0.2">
      <c r="A71" t="s">
        <v>365</v>
      </c>
      <c r="B71" t="s">
        <v>75</v>
      </c>
      <c r="C71" t="s">
        <v>366</v>
      </c>
      <c r="D71" t="s">
        <v>342</v>
      </c>
      <c r="E71" t="s">
        <v>278</v>
      </c>
      <c r="F71" t="s">
        <v>367</v>
      </c>
      <c r="G71" t="s">
        <v>20</v>
      </c>
      <c r="H71" t="s">
        <v>21</v>
      </c>
      <c r="I71" t="str">
        <f ca="1">IF(LEN(TRIM($A71))=0,"",IFERROR(_xll.BDP($A71,"SECURITY_NAME"),""))</f>
        <v/>
      </c>
      <c r="J71" t="s">
        <v>22</v>
      </c>
      <c r="K71" t="s">
        <v>363</v>
      </c>
      <c r="L71" t="s">
        <v>24</v>
      </c>
      <c r="M71" t="s">
        <v>368</v>
      </c>
      <c r="N71" t="e">
        <f ca="1">IF(LEN(TRIM(A71))=0,"",IFERROR(_xll.BDP(A71,"PX_LAST"),NA()))</f>
        <v>#N/A</v>
      </c>
    </row>
    <row r="72" spans="1:14" x14ac:dyDescent="0.2">
      <c r="A72" t="s">
        <v>237</v>
      </c>
      <c r="B72" t="s">
        <v>197</v>
      </c>
      <c r="C72" t="s">
        <v>231</v>
      </c>
      <c r="D72" t="s">
        <v>17</v>
      </c>
      <c r="E72" t="s">
        <v>210</v>
      </c>
      <c r="F72" t="s">
        <v>238</v>
      </c>
      <c r="G72" t="s">
        <v>20</v>
      </c>
      <c r="H72" t="s">
        <v>21</v>
      </c>
      <c r="I72" t="str">
        <f ca="1">IF(LEN(TRIM($A72))=0,"",IFERROR(_xll.BDP($A72,"SECURITY_NAME"),""))</f>
        <v/>
      </c>
      <c r="J72" t="s">
        <v>22</v>
      </c>
      <c r="K72" t="s">
        <v>205</v>
      </c>
      <c r="L72" t="s">
        <v>24</v>
      </c>
      <c r="M72" t="s">
        <v>239</v>
      </c>
      <c r="N72" t="e">
        <f ca="1">IF(LEN(TRIM(A72))=0,"",IFERROR(_xll.BDP(A72,"PX_LAST"),NA()))</f>
        <v>#N/A</v>
      </c>
    </row>
    <row r="73" spans="1:14" x14ac:dyDescent="0.2">
      <c r="A73" t="s">
        <v>228</v>
      </c>
      <c r="B73" t="s">
        <v>75</v>
      </c>
      <c r="C73" t="s">
        <v>209</v>
      </c>
      <c r="D73" t="s">
        <v>17</v>
      </c>
      <c r="E73" t="s">
        <v>210</v>
      </c>
      <c r="F73" t="s">
        <v>229</v>
      </c>
      <c r="G73" t="s">
        <v>87</v>
      </c>
      <c r="H73" t="s">
        <v>224</v>
      </c>
      <c r="I73" t="str">
        <f ca="1">IF(LEN(TRIM($A73))=0,"",IFERROR(_xll.BDP($A73,"SECURITY_NAME"),""))</f>
        <v/>
      </c>
      <c r="J73" t="s">
        <v>22</v>
      </c>
      <c r="K73" t="s">
        <v>23</v>
      </c>
      <c r="L73" t="s">
        <v>24</v>
      </c>
      <c r="M73" t="s">
        <v>225</v>
      </c>
      <c r="N73" t="e">
        <f ca="1">IF(LEN(TRIM(A73))=0,"",IFERROR(_xll.BDP(A73,"PX_LAST"),NA()))</f>
        <v>#N/A</v>
      </c>
    </row>
    <row r="74" spans="1:14" x14ac:dyDescent="0.2">
      <c r="A74" t="s">
        <v>453</v>
      </c>
      <c r="B74" t="s">
        <v>75</v>
      </c>
      <c r="C74" t="s">
        <v>454</v>
      </c>
      <c r="D74" t="s">
        <v>455</v>
      </c>
      <c r="E74" t="s">
        <v>278</v>
      </c>
      <c r="F74" t="s">
        <v>456</v>
      </c>
      <c r="G74" t="s">
        <v>20</v>
      </c>
      <c r="H74" t="s">
        <v>21</v>
      </c>
      <c r="I74" t="str">
        <f ca="1">IF(LEN(TRIM($A74))=0,"",IFERROR(_xll.BDP($A74,"SECURITY_NAME"),""))</f>
        <v/>
      </c>
      <c r="J74" t="s">
        <v>22</v>
      </c>
      <c r="K74" t="s">
        <v>34</v>
      </c>
      <c r="L74" t="s">
        <v>24</v>
      </c>
      <c r="M74" t="s">
        <v>457</v>
      </c>
      <c r="N74" t="e">
        <f ca="1">IF(LEN(TRIM(A74))=0,"",IFERROR(_xll.BDP(A74,"PX_LAST"),NA()))</f>
        <v>#N/A</v>
      </c>
    </row>
    <row r="75" spans="1:14" x14ac:dyDescent="0.2">
      <c r="A75" t="s">
        <v>333</v>
      </c>
      <c r="B75" t="s">
        <v>75</v>
      </c>
      <c r="C75" t="s">
        <v>329</v>
      </c>
      <c r="D75" t="s">
        <v>17</v>
      </c>
      <c r="E75" t="s">
        <v>323</v>
      </c>
      <c r="F75" t="s">
        <v>330</v>
      </c>
      <c r="G75" t="s">
        <v>57</v>
      </c>
      <c r="H75" t="s">
        <v>81</v>
      </c>
      <c r="I75" t="str">
        <f ca="1">IF(LEN(TRIM($A75))=0,"",IFERROR(_xll.BDP($A75,"SECURITY_NAME"),""))</f>
        <v/>
      </c>
      <c r="J75" t="s">
        <v>22</v>
      </c>
      <c r="K75" t="s">
        <v>23</v>
      </c>
      <c r="L75" t="s">
        <v>24</v>
      </c>
      <c r="M75" t="s">
        <v>331</v>
      </c>
      <c r="N75" t="e">
        <f ca="1">IF(LEN(TRIM(A75))=0,"",IFERROR(_xll.BDP(A75,"PX_LAST"),NA()))</f>
        <v>#N/A</v>
      </c>
    </row>
    <row r="76" spans="1:14" x14ac:dyDescent="0.2">
      <c r="A76" t="s">
        <v>253</v>
      </c>
      <c r="B76" t="s">
        <v>197</v>
      </c>
      <c r="C76" t="s">
        <v>243</v>
      </c>
      <c r="D76" t="s">
        <v>17</v>
      </c>
      <c r="E76" t="s">
        <v>210</v>
      </c>
      <c r="F76" t="s">
        <v>254</v>
      </c>
      <c r="G76" t="s">
        <v>255</v>
      </c>
      <c r="H76" t="s">
        <v>21</v>
      </c>
      <c r="I76" t="str">
        <f ca="1">IF(LEN(TRIM($A76))=0,"",IFERROR(_xll.BDP($A76,"SECURITY_NAME"),""))</f>
        <v/>
      </c>
      <c r="J76" t="s">
        <v>22</v>
      </c>
      <c r="K76" t="s">
        <v>34</v>
      </c>
      <c r="L76" t="s">
        <v>24</v>
      </c>
      <c r="M76" t="s">
        <v>256</v>
      </c>
      <c r="N76" t="e">
        <f ca="1">IF(LEN(TRIM(A76))=0,"",IFERROR(_xll.BDP(A76,"PX_LAST"),NA()))</f>
        <v>#N/A</v>
      </c>
    </row>
    <row r="77" spans="1:14" x14ac:dyDescent="0.2">
      <c r="A77" t="s">
        <v>352</v>
      </c>
      <c r="B77" t="s">
        <v>75</v>
      </c>
      <c r="C77" t="s">
        <v>341</v>
      </c>
      <c r="D77" t="s">
        <v>342</v>
      </c>
      <c r="E77" t="s">
        <v>278</v>
      </c>
      <c r="F77" t="s">
        <v>353</v>
      </c>
      <c r="G77" t="s">
        <v>20</v>
      </c>
      <c r="H77" t="s">
        <v>21</v>
      </c>
      <c r="I77" t="str">
        <f ca="1">IF(LEN(TRIM($A77))=0,"",IFERROR(_xll.BDP($A77,"SECURITY_NAME"),""))</f>
        <v/>
      </c>
      <c r="J77" t="s">
        <v>22</v>
      </c>
      <c r="K77" t="s">
        <v>344</v>
      </c>
      <c r="L77" t="s">
        <v>24</v>
      </c>
      <c r="M77" t="s">
        <v>354</v>
      </c>
      <c r="N77" t="e">
        <f ca="1">IF(LEN(TRIM(A77))=0,"",IFERROR(_xll.BDP(A77,"PX_LAST"),NA()))</f>
        <v>#N/A</v>
      </c>
    </row>
    <row r="78" spans="1:14" x14ac:dyDescent="0.2">
      <c r="A78" t="s">
        <v>159</v>
      </c>
      <c r="B78" t="s">
        <v>83</v>
      </c>
      <c r="C78" t="s">
        <v>84</v>
      </c>
      <c r="D78" t="s">
        <v>17</v>
      </c>
      <c r="E78" t="s">
        <v>85</v>
      </c>
      <c r="F78" t="s">
        <v>140</v>
      </c>
      <c r="G78" t="s">
        <v>20</v>
      </c>
      <c r="H78" t="s">
        <v>21</v>
      </c>
      <c r="I78" t="str">
        <f ca="1">IF(LEN(TRIM($A78))=0,"",IFERROR(_xll.BDP($A78,"SECURITY_NAME"),""))</f>
        <v/>
      </c>
      <c r="J78" t="s">
        <v>22</v>
      </c>
      <c r="K78" t="s">
        <v>141</v>
      </c>
      <c r="L78" t="s">
        <v>24</v>
      </c>
      <c r="M78" t="s">
        <v>142</v>
      </c>
      <c r="N78" t="e">
        <f ca="1">IF(LEN(TRIM(A78))=0,"",IFERROR(_xll.BDP(A78,"PX_LAST"),NA()))</f>
        <v>#N/A</v>
      </c>
    </row>
    <row r="79" spans="1:14" x14ac:dyDescent="0.2">
      <c r="A79" t="s">
        <v>305</v>
      </c>
      <c r="B79" t="s">
        <v>83</v>
      </c>
      <c r="C79" t="s">
        <v>299</v>
      </c>
      <c r="D79" t="s">
        <v>17</v>
      </c>
      <c r="E79" t="s">
        <v>300</v>
      </c>
      <c r="F79" t="s">
        <v>301</v>
      </c>
      <c r="G79" t="s">
        <v>20</v>
      </c>
      <c r="H79" t="s">
        <v>21</v>
      </c>
      <c r="I79" t="str">
        <f ca="1">IF(LEN(TRIM($A79))=0,"",IFERROR(_xll.BDP($A79,"SECURITY_NAME"),""))</f>
        <v/>
      </c>
      <c r="J79" t="s">
        <v>22</v>
      </c>
      <c r="K79" t="s">
        <v>34</v>
      </c>
      <c r="L79" t="s">
        <v>24</v>
      </c>
      <c r="M79" t="s">
        <v>302</v>
      </c>
      <c r="N79" t="e">
        <f ca="1">IF(LEN(TRIM(A79))=0,"",IFERROR(_xll.BDP(A79,"PX_LAST"),NA()))</f>
        <v>#N/A</v>
      </c>
    </row>
    <row r="80" spans="1:14" x14ac:dyDescent="0.2">
      <c r="A80" t="s">
        <v>208</v>
      </c>
      <c r="B80" t="s">
        <v>75</v>
      </c>
      <c r="C80" t="s">
        <v>209</v>
      </c>
      <c r="D80" t="s">
        <v>17</v>
      </c>
      <c r="E80" t="s">
        <v>210</v>
      </c>
      <c r="F80" t="s">
        <v>211</v>
      </c>
      <c r="G80" t="s">
        <v>57</v>
      </c>
      <c r="H80" t="s">
        <v>110</v>
      </c>
      <c r="I80" t="str">
        <f ca="1">IF(LEN(TRIM($A80))=0,"",IFERROR(_xll.BDP($A80,"SECURITY_NAME"),""))</f>
        <v/>
      </c>
      <c r="J80" t="s">
        <v>22</v>
      </c>
      <c r="K80" t="s">
        <v>23</v>
      </c>
      <c r="L80" t="s">
        <v>24</v>
      </c>
      <c r="M80" t="s">
        <v>212</v>
      </c>
      <c r="N80" t="e">
        <f ca="1">IF(LEN(TRIM(A80))=0,"",IFERROR(_xll.BDP(A80,"PX_LAST"),NA()))</f>
        <v>#N/A</v>
      </c>
    </row>
    <row r="81" spans="1:14" x14ac:dyDescent="0.2">
      <c r="A81" t="s">
        <v>148</v>
      </c>
      <c r="B81" t="s">
        <v>83</v>
      </c>
      <c r="C81" t="s">
        <v>84</v>
      </c>
      <c r="D81" t="s">
        <v>17</v>
      </c>
      <c r="E81" t="s">
        <v>85</v>
      </c>
      <c r="F81" t="s">
        <v>140</v>
      </c>
      <c r="G81" t="s">
        <v>20</v>
      </c>
      <c r="H81" t="s">
        <v>21</v>
      </c>
      <c r="I81" t="str">
        <f ca="1">IF(LEN(TRIM($A81))=0,"",IFERROR(_xll.BDP($A81,"SECURITY_NAME"),""))</f>
        <v/>
      </c>
      <c r="J81" t="s">
        <v>22</v>
      </c>
      <c r="K81" t="s">
        <v>141</v>
      </c>
      <c r="L81" t="s">
        <v>24</v>
      </c>
      <c r="M81" t="s">
        <v>142</v>
      </c>
      <c r="N81" t="e">
        <f ca="1">IF(LEN(TRIM(A81))=0,"",IFERROR(_xll.BDP(A81,"PX_LAST"),NA()))</f>
        <v>#N/A</v>
      </c>
    </row>
    <row r="82" spans="1:14" x14ac:dyDescent="0.2">
      <c r="A82" t="s">
        <v>91</v>
      </c>
      <c r="B82" t="s">
        <v>83</v>
      </c>
      <c r="C82" t="s">
        <v>84</v>
      </c>
      <c r="D82" t="s">
        <v>17</v>
      </c>
      <c r="E82" t="s">
        <v>85</v>
      </c>
      <c r="F82" t="s">
        <v>86</v>
      </c>
      <c r="G82" t="s">
        <v>87</v>
      </c>
      <c r="H82" t="s">
        <v>88</v>
      </c>
      <c r="I82" t="str">
        <f ca="1">IF(LEN(TRIM($A82))=0,"",IFERROR(_xll.BDP($A82,"SECURITY_NAME"),""))</f>
        <v/>
      </c>
      <c r="J82" t="s">
        <v>22</v>
      </c>
      <c r="K82" t="s">
        <v>89</v>
      </c>
      <c r="L82" t="s">
        <v>24</v>
      </c>
      <c r="M82" t="s">
        <v>90</v>
      </c>
      <c r="N82" t="e">
        <f ca="1">IF(LEN(TRIM(A82))=0,"",IFERROR(_xll.BDP(A82,"PX_LAST"),NA()))</f>
        <v>#N/A</v>
      </c>
    </row>
    <row r="83" spans="1:14" x14ac:dyDescent="0.2">
      <c r="A83" t="s">
        <v>161</v>
      </c>
      <c r="B83" t="s">
        <v>83</v>
      </c>
      <c r="C83" t="s">
        <v>84</v>
      </c>
      <c r="D83" t="s">
        <v>17</v>
      </c>
      <c r="E83" t="s">
        <v>85</v>
      </c>
      <c r="F83" t="s">
        <v>140</v>
      </c>
      <c r="G83" t="s">
        <v>20</v>
      </c>
      <c r="H83" t="s">
        <v>21</v>
      </c>
      <c r="I83" t="str">
        <f ca="1">IF(LEN(TRIM($A83))=0,"",IFERROR(_xll.BDP($A83,"SECURITY_NAME"),""))</f>
        <v/>
      </c>
      <c r="J83" t="s">
        <v>22</v>
      </c>
      <c r="K83" t="s">
        <v>141</v>
      </c>
      <c r="L83" t="s">
        <v>24</v>
      </c>
      <c r="M83" t="s">
        <v>142</v>
      </c>
      <c r="N83" t="e">
        <f ca="1">IF(LEN(TRIM(A83))=0,"",IFERROR(_xll.BDP(A83,"PX_LAST"),NA()))</f>
        <v>#N/A</v>
      </c>
    </row>
    <row r="84" spans="1:14" x14ac:dyDescent="0.2">
      <c r="A84" t="s">
        <v>304</v>
      </c>
      <c r="B84" t="s">
        <v>83</v>
      </c>
      <c r="C84" t="s">
        <v>299</v>
      </c>
      <c r="D84" t="s">
        <v>17</v>
      </c>
      <c r="E84" t="s">
        <v>300</v>
      </c>
      <c r="F84" t="s">
        <v>301</v>
      </c>
      <c r="G84" t="s">
        <v>20</v>
      </c>
      <c r="H84" t="s">
        <v>21</v>
      </c>
      <c r="I84" t="str">
        <f ca="1">IF(LEN(TRIM($A84))=0,"",IFERROR(_xll.BDP($A84,"SECURITY_NAME"),""))</f>
        <v/>
      </c>
      <c r="J84" t="s">
        <v>22</v>
      </c>
      <c r="K84" t="s">
        <v>34</v>
      </c>
      <c r="L84" t="s">
        <v>24</v>
      </c>
      <c r="M84" t="s">
        <v>302</v>
      </c>
      <c r="N84" t="e">
        <f ca="1">IF(LEN(TRIM(A84))=0,"",IFERROR(_xll.BDP(A84,"PX_LAST"),NA()))</f>
        <v>#N/A</v>
      </c>
    </row>
    <row r="85" spans="1:14" x14ac:dyDescent="0.2">
      <c r="A85" t="s">
        <v>175</v>
      </c>
      <c r="B85" t="s">
        <v>176</v>
      </c>
      <c r="C85" t="s">
        <v>177</v>
      </c>
      <c r="D85" t="s">
        <v>17</v>
      </c>
      <c r="E85" t="s">
        <v>170</v>
      </c>
      <c r="F85" t="s">
        <v>176</v>
      </c>
      <c r="G85" t="s">
        <v>20</v>
      </c>
      <c r="H85" t="s">
        <v>21</v>
      </c>
      <c r="I85" t="str">
        <f ca="1">IF(LEN(TRIM($A85))=0,"",IFERROR(_xll.BDP($A85,"SECURITY_NAME"),""))</f>
        <v/>
      </c>
      <c r="J85" t="s">
        <v>22</v>
      </c>
      <c r="K85" t="s">
        <v>23</v>
      </c>
      <c r="L85" t="s">
        <v>24</v>
      </c>
      <c r="M85" t="s">
        <v>178</v>
      </c>
      <c r="N85" t="e">
        <f ca="1">IF(LEN(TRIM(A85))=0,"",IFERROR(_xll.BDP(A85,"PX_LAST"),NA()))</f>
        <v>#N/A</v>
      </c>
    </row>
    <row r="86" spans="1:14" x14ac:dyDescent="0.2">
      <c r="A86" t="s">
        <v>179</v>
      </c>
      <c r="B86" t="s">
        <v>83</v>
      </c>
      <c r="C86" t="s">
        <v>180</v>
      </c>
      <c r="D86" t="s">
        <v>17</v>
      </c>
      <c r="E86" t="s">
        <v>170</v>
      </c>
      <c r="F86" t="s">
        <v>181</v>
      </c>
      <c r="G86" t="s">
        <v>20</v>
      </c>
      <c r="H86" t="s">
        <v>21</v>
      </c>
      <c r="I86" t="str">
        <f ca="1">IF(LEN(TRIM($A86))=0,"",IFERROR(_xll.BDP($A86,"SECURITY_NAME"),""))</f>
        <v/>
      </c>
      <c r="J86" t="s">
        <v>22</v>
      </c>
      <c r="K86" t="s">
        <v>182</v>
      </c>
      <c r="L86" t="s">
        <v>24</v>
      </c>
      <c r="M86" t="s">
        <v>183</v>
      </c>
      <c r="N86" t="e">
        <f ca="1">IF(LEN(TRIM(A86))=0,"",IFERROR(_xll.BDP(A86,"PX_LAST"),NA()))</f>
        <v>#N/A</v>
      </c>
    </row>
    <row r="87" spans="1:14" x14ac:dyDescent="0.2">
      <c r="A87" t="s">
        <v>143</v>
      </c>
      <c r="B87" t="s">
        <v>83</v>
      </c>
      <c r="C87" t="s">
        <v>84</v>
      </c>
      <c r="D87" t="s">
        <v>17</v>
      </c>
      <c r="E87" t="s">
        <v>85</v>
      </c>
      <c r="F87" t="s">
        <v>140</v>
      </c>
      <c r="G87" t="s">
        <v>20</v>
      </c>
      <c r="H87" t="s">
        <v>21</v>
      </c>
      <c r="I87" t="str">
        <f ca="1">IF(LEN(TRIM($A87))=0,"",IFERROR(_xll.BDP($A87,"SECURITY_NAME"),""))</f>
        <v/>
      </c>
      <c r="J87" t="s">
        <v>22</v>
      </c>
      <c r="K87" t="s">
        <v>141</v>
      </c>
      <c r="L87" t="s">
        <v>24</v>
      </c>
      <c r="M87" t="s">
        <v>142</v>
      </c>
      <c r="N87" t="e">
        <f ca="1">IF(LEN(TRIM(A87))=0,"",IFERROR(_xll.BDP(A87,"PX_LAST"),NA()))</f>
        <v>#N/A</v>
      </c>
    </row>
    <row r="88" spans="1:14" x14ac:dyDescent="0.2">
      <c r="A88" t="s">
        <v>413</v>
      </c>
      <c r="B88" t="s">
        <v>75</v>
      </c>
      <c r="C88" t="s">
        <v>410</v>
      </c>
      <c r="D88" t="s">
        <v>402</v>
      </c>
      <c r="E88" t="s">
        <v>278</v>
      </c>
      <c r="F88" t="s">
        <v>414</v>
      </c>
      <c r="G88" t="s">
        <v>20</v>
      </c>
      <c r="H88" t="s">
        <v>21</v>
      </c>
      <c r="I88" t="str">
        <f ca="1">IF(LEN(TRIM($A88))=0,"",IFERROR(_xll.BDP($A88,"SECURITY_NAME"),""))</f>
        <v/>
      </c>
      <c r="J88" t="s">
        <v>22</v>
      </c>
      <c r="K88" t="s">
        <v>52</v>
      </c>
      <c r="L88" t="s">
        <v>24</v>
      </c>
      <c r="M88" t="s">
        <v>415</v>
      </c>
      <c r="N88" t="e">
        <f ca="1">IF(LEN(TRIM(A88))=0,"",IFERROR(_xll.BDP(A88,"PX_LAST"),NA()))</f>
        <v>#N/A</v>
      </c>
    </row>
    <row r="89" spans="1:14" x14ac:dyDescent="0.2">
      <c r="A89" t="s">
        <v>409</v>
      </c>
      <c r="B89" t="s">
        <v>75</v>
      </c>
      <c r="C89" t="s">
        <v>410</v>
      </c>
      <c r="D89" t="s">
        <v>402</v>
      </c>
      <c r="E89" t="s">
        <v>278</v>
      </c>
      <c r="F89" t="s">
        <v>411</v>
      </c>
      <c r="G89" t="s">
        <v>20</v>
      </c>
      <c r="H89" t="s">
        <v>21</v>
      </c>
      <c r="I89" t="str">
        <f ca="1">IF(LEN(TRIM($A89))=0,"",IFERROR(_xll.BDP($A89,"SECURITY_NAME"),""))</f>
        <v/>
      </c>
      <c r="J89" t="s">
        <v>22</v>
      </c>
      <c r="K89" t="s">
        <v>52</v>
      </c>
      <c r="L89" t="s">
        <v>24</v>
      </c>
      <c r="M89" t="s">
        <v>412</v>
      </c>
      <c r="N89" t="e">
        <f ca="1">IF(LEN(TRIM(A89))=0,"",IFERROR(_xll.BDP(A89,"PX_LAST"),NA()))</f>
        <v>#N/A</v>
      </c>
    </row>
    <row r="90" spans="1:14" x14ac:dyDescent="0.2">
      <c r="A90" t="s">
        <v>222</v>
      </c>
      <c r="B90" t="s">
        <v>75</v>
      </c>
      <c r="C90" t="s">
        <v>209</v>
      </c>
      <c r="D90" t="s">
        <v>17</v>
      </c>
      <c r="E90" t="s">
        <v>210</v>
      </c>
      <c r="F90" t="s">
        <v>223</v>
      </c>
      <c r="G90" t="s">
        <v>87</v>
      </c>
      <c r="H90" t="s">
        <v>224</v>
      </c>
      <c r="I90" t="str">
        <f ca="1">IF(LEN(TRIM($A90))=0,"",IFERROR(_xll.BDP($A90,"SECURITY_NAME"),""))</f>
        <v/>
      </c>
      <c r="J90" t="s">
        <v>22</v>
      </c>
      <c r="K90" t="s">
        <v>23</v>
      </c>
      <c r="L90" t="s">
        <v>24</v>
      </c>
      <c r="M90" t="s">
        <v>225</v>
      </c>
      <c r="N90" t="e">
        <f ca="1">IF(LEN(TRIM(A90))=0,"",IFERROR(_xll.BDP(A90,"PX_LAST"),NA()))</f>
        <v>#N/A</v>
      </c>
    </row>
    <row r="91" spans="1:14" x14ac:dyDescent="0.2">
      <c r="A91" t="s">
        <v>117</v>
      </c>
      <c r="B91" t="s">
        <v>83</v>
      </c>
      <c r="C91" t="s">
        <v>84</v>
      </c>
      <c r="D91" t="s">
        <v>17</v>
      </c>
      <c r="E91" t="s">
        <v>85</v>
      </c>
      <c r="F91" t="s">
        <v>113</v>
      </c>
      <c r="G91" t="s">
        <v>87</v>
      </c>
      <c r="H91" t="s">
        <v>114</v>
      </c>
      <c r="I91" t="str">
        <f ca="1">IF(LEN(TRIM($A91))=0,"",IFERROR(_xll.BDP($A91,"SECURITY_NAME"),""))</f>
        <v/>
      </c>
      <c r="J91" t="s">
        <v>22</v>
      </c>
      <c r="K91" t="s">
        <v>52</v>
      </c>
      <c r="L91" t="s">
        <v>24</v>
      </c>
      <c r="M91" t="s">
        <v>115</v>
      </c>
      <c r="N91" t="e">
        <f ca="1">IF(LEN(TRIM(A91))=0,"",IFERROR(_xll.BDP(A91,"PX_LAST"),NA()))</f>
        <v>#N/A</v>
      </c>
    </row>
    <row r="92" spans="1:14" x14ac:dyDescent="0.2">
      <c r="A92" t="s">
        <v>144</v>
      </c>
      <c r="B92" t="s">
        <v>83</v>
      </c>
      <c r="C92" t="s">
        <v>84</v>
      </c>
      <c r="D92" t="s">
        <v>17</v>
      </c>
      <c r="E92" t="s">
        <v>85</v>
      </c>
      <c r="F92" t="s">
        <v>140</v>
      </c>
      <c r="G92" t="s">
        <v>20</v>
      </c>
      <c r="H92" t="s">
        <v>21</v>
      </c>
      <c r="I92" t="str">
        <f ca="1">IF(LEN(TRIM($A92))=0,"",IFERROR(_xll.BDP($A92,"SECURITY_NAME"),""))</f>
        <v/>
      </c>
      <c r="J92" t="s">
        <v>22</v>
      </c>
      <c r="K92" t="s">
        <v>141</v>
      </c>
      <c r="L92" t="s">
        <v>24</v>
      </c>
      <c r="M92" t="s">
        <v>142</v>
      </c>
      <c r="N92" t="e">
        <f ca="1">IF(LEN(TRIM(A92))=0,"",IFERROR(_xll.BDP(A92,"PX_LAST"),NA()))</f>
        <v>#N/A</v>
      </c>
    </row>
    <row r="93" spans="1:14" x14ac:dyDescent="0.2">
      <c r="A93" t="s">
        <v>358</v>
      </c>
      <c r="B93" t="s">
        <v>75</v>
      </c>
      <c r="C93" t="s">
        <v>341</v>
      </c>
      <c r="D93" t="s">
        <v>342</v>
      </c>
      <c r="E93" t="s">
        <v>278</v>
      </c>
      <c r="F93" t="s">
        <v>359</v>
      </c>
      <c r="G93" t="s">
        <v>20</v>
      </c>
      <c r="H93" t="s">
        <v>21</v>
      </c>
      <c r="I93" t="str">
        <f ca="1">IF(LEN(TRIM($A93))=0,"",IFERROR(_xll.BDP($A93,"SECURITY_NAME"),""))</f>
        <v/>
      </c>
      <c r="J93" t="s">
        <v>22</v>
      </c>
      <c r="K93" t="s">
        <v>344</v>
      </c>
      <c r="L93" t="s">
        <v>24</v>
      </c>
      <c r="M93" t="s">
        <v>360</v>
      </c>
      <c r="N93" t="e">
        <f ca="1">IF(LEN(TRIM(A93))=0,"",IFERROR(_xll.BDP(A93,"PX_LAST"),NA()))</f>
        <v>#N/A</v>
      </c>
    </row>
    <row r="94" spans="1:14" x14ac:dyDescent="0.2">
      <c r="A94" t="s">
        <v>153</v>
      </c>
      <c r="B94" t="s">
        <v>83</v>
      </c>
      <c r="C94" t="s">
        <v>84</v>
      </c>
      <c r="D94" t="s">
        <v>17</v>
      </c>
      <c r="E94" t="s">
        <v>85</v>
      </c>
      <c r="F94" t="s">
        <v>140</v>
      </c>
      <c r="G94" t="s">
        <v>20</v>
      </c>
      <c r="H94" t="s">
        <v>21</v>
      </c>
      <c r="I94" t="str">
        <f ca="1">IF(LEN(TRIM($A94))=0,"",IFERROR(_xll.BDP($A94,"SECURITY_NAME"),""))</f>
        <v/>
      </c>
      <c r="J94" t="s">
        <v>22</v>
      </c>
      <c r="K94" t="s">
        <v>141</v>
      </c>
      <c r="L94" t="s">
        <v>24</v>
      </c>
      <c r="M94" t="s">
        <v>142</v>
      </c>
      <c r="N94" t="e">
        <f ca="1">IF(LEN(TRIM(A94))=0,"",IFERROR(_xll.BDP(A94,"PX_LAST"),NA()))</f>
        <v>#N/A</v>
      </c>
    </row>
    <row r="95" spans="1:14" x14ac:dyDescent="0.2">
      <c r="A95" t="s">
        <v>156</v>
      </c>
      <c r="B95" t="s">
        <v>83</v>
      </c>
      <c r="C95" t="s">
        <v>84</v>
      </c>
      <c r="D95" t="s">
        <v>17</v>
      </c>
      <c r="E95" t="s">
        <v>85</v>
      </c>
      <c r="F95" t="s">
        <v>140</v>
      </c>
      <c r="G95" t="s">
        <v>20</v>
      </c>
      <c r="H95" t="s">
        <v>21</v>
      </c>
      <c r="I95" t="str">
        <f ca="1">IF(LEN(TRIM($A95))=0,"",IFERROR(_xll.BDP($A95,"SECURITY_NAME"),""))</f>
        <v/>
      </c>
      <c r="J95" t="s">
        <v>22</v>
      </c>
      <c r="K95" t="s">
        <v>141</v>
      </c>
      <c r="L95" t="s">
        <v>24</v>
      </c>
      <c r="M95" t="s">
        <v>142</v>
      </c>
      <c r="N95" t="e">
        <f ca="1">IF(LEN(TRIM(A95))=0,"",IFERROR(_xll.BDP(A95,"PX_LAST"),NA()))</f>
        <v>#N/A</v>
      </c>
    </row>
    <row r="96" spans="1:14" x14ac:dyDescent="0.2">
      <c r="A96" t="s">
        <v>152</v>
      </c>
      <c r="B96" t="s">
        <v>83</v>
      </c>
      <c r="C96" t="s">
        <v>84</v>
      </c>
      <c r="D96" t="s">
        <v>17</v>
      </c>
      <c r="E96" t="s">
        <v>85</v>
      </c>
      <c r="F96" t="s">
        <v>140</v>
      </c>
      <c r="G96" t="s">
        <v>20</v>
      </c>
      <c r="H96" t="s">
        <v>21</v>
      </c>
      <c r="I96" t="str">
        <f ca="1">IF(LEN(TRIM($A96))=0,"",IFERROR(_xll.BDP($A96,"SECURITY_NAME"),""))</f>
        <v/>
      </c>
      <c r="J96" t="s">
        <v>22</v>
      </c>
      <c r="K96" t="s">
        <v>141</v>
      </c>
      <c r="L96" t="s">
        <v>24</v>
      </c>
      <c r="M96" t="s">
        <v>142</v>
      </c>
      <c r="N96" t="e">
        <f ca="1">IF(LEN(TRIM(A96))=0,"",IFERROR(_xll.BDP(A96,"PX_LAST"),NA()))</f>
        <v>#N/A</v>
      </c>
    </row>
    <row r="97" spans="1:14" x14ac:dyDescent="0.2">
      <c r="A97" t="s">
        <v>435</v>
      </c>
      <c r="B97" t="s">
        <v>75</v>
      </c>
      <c r="C97" t="s">
        <v>410</v>
      </c>
      <c r="D97" t="s">
        <v>402</v>
      </c>
      <c r="E97" t="s">
        <v>278</v>
      </c>
      <c r="F97" t="s">
        <v>436</v>
      </c>
      <c r="G97" t="s">
        <v>57</v>
      </c>
      <c r="H97" t="s">
        <v>81</v>
      </c>
      <c r="I97" t="str">
        <f ca="1">IF(LEN(TRIM($A97))=0,"",IFERROR(_xll.BDP($A97,"SECURITY_NAME"),""))</f>
        <v/>
      </c>
      <c r="J97" t="s">
        <v>22</v>
      </c>
      <c r="K97" t="s">
        <v>52</v>
      </c>
      <c r="L97" t="s">
        <v>24</v>
      </c>
      <c r="M97" t="s">
        <v>437</v>
      </c>
      <c r="N97" t="e">
        <f ca="1">IF(LEN(TRIM(A97))=0,"",IFERROR(_xll.BDP(A97,"PX_LAST"),NA()))</f>
        <v>#N/A</v>
      </c>
    </row>
    <row r="98" spans="1:14" x14ac:dyDescent="0.2">
      <c r="A98" t="s">
        <v>438</v>
      </c>
      <c r="B98" t="s">
        <v>75</v>
      </c>
      <c r="C98" t="s">
        <v>410</v>
      </c>
      <c r="D98" t="s">
        <v>402</v>
      </c>
      <c r="E98" t="s">
        <v>278</v>
      </c>
      <c r="F98" t="s">
        <v>439</v>
      </c>
      <c r="G98" t="s">
        <v>57</v>
      </c>
      <c r="H98" t="s">
        <v>81</v>
      </c>
      <c r="I98" t="str">
        <f ca="1">IF(LEN(TRIM($A98))=0,"",IFERROR(_xll.BDP($A98,"SECURITY_NAME"),""))</f>
        <v/>
      </c>
      <c r="J98" t="s">
        <v>22</v>
      </c>
      <c r="K98" t="s">
        <v>52</v>
      </c>
      <c r="L98" t="s">
        <v>24</v>
      </c>
      <c r="M98" t="s">
        <v>440</v>
      </c>
      <c r="N98" t="e">
        <f ca="1">IF(LEN(TRIM(A98))=0,"",IFERROR(_xll.BDP(A98,"PX_LAST"),NA()))</f>
        <v>#N/A</v>
      </c>
    </row>
    <row r="99" spans="1:14" x14ac:dyDescent="0.2">
      <c r="A99" t="s">
        <v>69</v>
      </c>
      <c r="B99" t="s">
        <v>60</v>
      </c>
      <c r="C99" t="s">
        <v>61</v>
      </c>
      <c r="D99" t="s">
        <v>17</v>
      </c>
      <c r="E99" t="s">
        <v>18</v>
      </c>
      <c r="F99" t="s">
        <v>62</v>
      </c>
      <c r="G99" t="s">
        <v>20</v>
      </c>
      <c r="H99" t="s">
        <v>21</v>
      </c>
      <c r="I99" t="str">
        <f ca="1">IF(LEN(TRIM($A99))=0,"",IFERROR(_xll.BDP($A99,"SECURITY_NAME"),""))</f>
        <v/>
      </c>
      <c r="J99" t="s">
        <v>22</v>
      </c>
      <c r="K99" t="s">
        <v>23</v>
      </c>
      <c r="L99" t="s">
        <v>24</v>
      </c>
      <c r="M99" t="s">
        <v>63</v>
      </c>
      <c r="N99" t="e">
        <f ca="1">IF(LEN(TRIM(A99))=0,"",IFERROR(_xll.BDP(A99,"PX_LAST"),NA()))</f>
        <v>#N/A</v>
      </c>
    </row>
    <row r="100" spans="1:14" x14ac:dyDescent="0.2">
      <c r="A100" t="s">
        <v>361</v>
      </c>
      <c r="B100" t="s">
        <v>75</v>
      </c>
      <c r="C100" t="s">
        <v>341</v>
      </c>
      <c r="D100" t="s">
        <v>342</v>
      </c>
      <c r="E100" t="s">
        <v>278</v>
      </c>
      <c r="F100" t="s">
        <v>362</v>
      </c>
      <c r="G100" t="s">
        <v>20</v>
      </c>
      <c r="H100" t="s">
        <v>21</v>
      </c>
      <c r="I100" t="str">
        <f ca="1">IF(LEN(TRIM($A100))=0,"",IFERROR(_xll.BDP($A100,"SECURITY_NAME"),""))</f>
        <v/>
      </c>
      <c r="J100" t="s">
        <v>22</v>
      </c>
      <c r="K100" t="s">
        <v>363</v>
      </c>
      <c r="L100" t="s">
        <v>24</v>
      </c>
      <c r="M100" t="s">
        <v>364</v>
      </c>
      <c r="N100" t="e">
        <f ca="1">IF(LEN(TRIM(A100))=0,"",IFERROR(_xll.BDP(A100,"PX_LAST"),NA()))</f>
        <v>#N/A</v>
      </c>
    </row>
    <row r="101" spans="1:14" x14ac:dyDescent="0.2">
      <c r="A101" t="s">
        <v>149</v>
      </c>
      <c r="B101" t="s">
        <v>83</v>
      </c>
      <c r="C101" t="s">
        <v>84</v>
      </c>
      <c r="D101" t="s">
        <v>17</v>
      </c>
      <c r="E101" t="s">
        <v>85</v>
      </c>
      <c r="F101" t="s">
        <v>140</v>
      </c>
      <c r="G101" t="s">
        <v>20</v>
      </c>
      <c r="H101" t="s">
        <v>21</v>
      </c>
      <c r="I101" t="str">
        <f ca="1">IF(LEN(TRIM($A101))=0,"",IFERROR(_xll.BDP($A101,"SECURITY_NAME"),""))</f>
        <v/>
      </c>
      <c r="J101" t="s">
        <v>22</v>
      </c>
      <c r="K101" t="s">
        <v>141</v>
      </c>
      <c r="L101" t="s">
        <v>24</v>
      </c>
      <c r="M101" t="s">
        <v>142</v>
      </c>
      <c r="N101" t="e">
        <f ca="1">IF(LEN(TRIM(A101))=0,"",IFERROR(_xll.BDP(A101,"PX_LAST"),NA()))</f>
        <v>#N/A</v>
      </c>
    </row>
    <row r="102" spans="1:14" x14ac:dyDescent="0.2">
      <c r="A102" t="s">
        <v>405</v>
      </c>
      <c r="B102" t="s">
        <v>75</v>
      </c>
      <c r="C102" t="s">
        <v>406</v>
      </c>
      <c r="D102" t="s">
        <v>402</v>
      </c>
      <c r="E102" t="s">
        <v>278</v>
      </c>
      <c r="F102" t="s">
        <v>407</v>
      </c>
      <c r="G102" t="s">
        <v>20</v>
      </c>
      <c r="H102" t="s">
        <v>21</v>
      </c>
      <c r="I102" t="str">
        <f ca="1">IF(LEN(TRIM($A102))=0,"",IFERROR(_xll.BDP($A102,"SECURITY_NAME"),""))</f>
        <v/>
      </c>
      <c r="J102" t="s">
        <v>22</v>
      </c>
      <c r="K102" t="s">
        <v>34</v>
      </c>
      <c r="L102" t="s">
        <v>24</v>
      </c>
      <c r="M102" t="s">
        <v>408</v>
      </c>
      <c r="N102" t="e">
        <f ca="1">IF(LEN(TRIM(A102))=0,"",IFERROR(_xll.BDP(A102,"PX_LAST"),NA()))</f>
        <v>#N/A</v>
      </c>
    </row>
    <row r="103" spans="1:14" x14ac:dyDescent="0.2">
      <c r="A103" t="s">
        <v>155</v>
      </c>
      <c r="B103" t="s">
        <v>83</v>
      </c>
      <c r="C103" t="s">
        <v>84</v>
      </c>
      <c r="D103" t="s">
        <v>17</v>
      </c>
      <c r="E103" t="s">
        <v>85</v>
      </c>
      <c r="F103" t="s">
        <v>140</v>
      </c>
      <c r="G103" t="s">
        <v>20</v>
      </c>
      <c r="H103" t="s">
        <v>21</v>
      </c>
      <c r="I103" t="str">
        <f ca="1">IF(LEN(TRIM($A103))=0,"",IFERROR(_xll.BDP($A103,"SECURITY_NAME"),""))</f>
        <v/>
      </c>
      <c r="J103" t="s">
        <v>22</v>
      </c>
      <c r="K103" t="s">
        <v>141</v>
      </c>
      <c r="L103" t="s">
        <v>24</v>
      </c>
      <c r="M103" t="s">
        <v>142</v>
      </c>
      <c r="N103" t="e">
        <f ca="1">IF(LEN(TRIM(A103))=0,"",IFERROR(_xll.BDP(A103,"PX_LAST"),NA()))</f>
        <v>#N/A</v>
      </c>
    </row>
    <row r="104" spans="1:14" x14ac:dyDescent="0.2">
      <c r="A104" t="s">
        <v>139</v>
      </c>
      <c r="B104" t="s">
        <v>83</v>
      </c>
      <c r="C104" t="s">
        <v>84</v>
      </c>
      <c r="D104" t="s">
        <v>17</v>
      </c>
      <c r="E104" t="s">
        <v>85</v>
      </c>
      <c r="F104" t="s">
        <v>140</v>
      </c>
      <c r="G104" t="s">
        <v>20</v>
      </c>
      <c r="H104" t="s">
        <v>21</v>
      </c>
      <c r="I104" t="str">
        <f ca="1">IF(LEN(TRIM($A104))=0,"",IFERROR(_xll.BDP($A104,"SECURITY_NAME"),""))</f>
        <v/>
      </c>
      <c r="J104" t="s">
        <v>22</v>
      </c>
      <c r="K104" t="s">
        <v>141</v>
      </c>
      <c r="L104" t="s">
        <v>24</v>
      </c>
      <c r="M104" t="s">
        <v>142</v>
      </c>
      <c r="N104" t="e">
        <f ca="1">IF(LEN(TRIM(A104))=0,"",IFERROR(_xll.BDP(A104,"PX_LAST"),NA()))</f>
        <v>#N/A</v>
      </c>
    </row>
    <row r="105" spans="1:14" x14ac:dyDescent="0.2">
      <c r="A105" t="s">
        <v>306</v>
      </c>
      <c r="B105" t="s">
        <v>83</v>
      </c>
      <c r="C105" t="s">
        <v>299</v>
      </c>
      <c r="D105" t="s">
        <v>17</v>
      </c>
      <c r="E105" t="s">
        <v>300</v>
      </c>
      <c r="F105" t="s">
        <v>301</v>
      </c>
      <c r="G105" t="s">
        <v>20</v>
      </c>
      <c r="H105" t="s">
        <v>21</v>
      </c>
      <c r="I105" t="str">
        <f ca="1">IF(LEN(TRIM($A105))=0,"",IFERROR(_xll.BDP($A105,"SECURITY_NAME"),""))</f>
        <v/>
      </c>
      <c r="J105" t="s">
        <v>22</v>
      </c>
      <c r="K105" t="s">
        <v>34</v>
      </c>
      <c r="L105" t="s">
        <v>24</v>
      </c>
      <c r="M105" t="s">
        <v>302</v>
      </c>
      <c r="N105" t="e">
        <f ca="1">IF(LEN(TRIM(A105))=0,"",IFERROR(_xll.BDP(A105,"PX_LAST"),NA()))</f>
        <v>#N/A</v>
      </c>
    </row>
    <row r="106" spans="1:14" x14ac:dyDescent="0.2">
      <c r="A106" t="s">
        <v>377</v>
      </c>
      <c r="B106" t="s">
        <v>75</v>
      </c>
      <c r="C106" t="s">
        <v>378</v>
      </c>
      <c r="D106" t="s">
        <v>342</v>
      </c>
      <c r="E106" t="s">
        <v>278</v>
      </c>
      <c r="F106" t="s">
        <v>379</v>
      </c>
      <c r="G106" t="s">
        <v>20</v>
      </c>
      <c r="H106" t="s">
        <v>21</v>
      </c>
      <c r="I106" t="str">
        <f ca="1">IF(LEN(TRIM($A106))=0,"",IFERROR(_xll.BDP($A106,"SECURITY_NAME"),""))</f>
        <v/>
      </c>
      <c r="J106" t="s">
        <v>22</v>
      </c>
      <c r="K106" t="s">
        <v>141</v>
      </c>
      <c r="L106" t="s">
        <v>24</v>
      </c>
      <c r="M106" t="s">
        <v>380</v>
      </c>
      <c r="N106" t="e">
        <f ca="1">IF(LEN(TRIM(A106))=0,"",IFERROR(_xll.BDP(A106,"PX_LAST"),NA()))</f>
        <v>#N/A</v>
      </c>
    </row>
    <row r="107" spans="1:14" x14ac:dyDescent="0.2">
      <c r="A107" t="s">
        <v>164</v>
      </c>
      <c r="B107" t="s">
        <v>83</v>
      </c>
      <c r="C107" t="s">
        <v>84</v>
      </c>
      <c r="D107" t="s">
        <v>17</v>
      </c>
      <c r="E107" t="s">
        <v>85</v>
      </c>
      <c r="F107" t="s">
        <v>140</v>
      </c>
      <c r="G107" t="s">
        <v>20</v>
      </c>
      <c r="H107" t="s">
        <v>21</v>
      </c>
      <c r="I107" t="str">
        <f ca="1">IF(LEN(TRIM($A107))=0,"",IFERROR(_xll.BDP($A107,"SECURITY_NAME"),""))</f>
        <v/>
      </c>
      <c r="J107" t="s">
        <v>22</v>
      </c>
      <c r="K107" t="s">
        <v>141</v>
      </c>
      <c r="L107" t="s">
        <v>24</v>
      </c>
      <c r="M107" t="s">
        <v>142</v>
      </c>
      <c r="N107" t="e">
        <f ca="1">IF(LEN(TRIM(A107))=0,"",IFERROR(_xll.BDP(A107,"PX_LAST"),NA()))</f>
        <v>#N/A</v>
      </c>
    </row>
    <row r="108" spans="1:14" x14ac:dyDescent="0.2">
      <c r="A108" t="s">
        <v>165</v>
      </c>
      <c r="B108" t="s">
        <v>83</v>
      </c>
      <c r="C108" t="s">
        <v>84</v>
      </c>
      <c r="D108" t="s">
        <v>17</v>
      </c>
      <c r="E108" t="s">
        <v>85</v>
      </c>
      <c r="F108" t="s">
        <v>140</v>
      </c>
      <c r="G108" t="s">
        <v>20</v>
      </c>
      <c r="H108" t="s">
        <v>21</v>
      </c>
      <c r="I108" t="str">
        <f ca="1">IF(LEN(TRIM($A108))=0,"",IFERROR(_xll.BDP($A108,"SECURITY_NAME"),""))</f>
        <v/>
      </c>
      <c r="J108" t="s">
        <v>22</v>
      </c>
      <c r="K108" t="s">
        <v>141</v>
      </c>
      <c r="L108" t="s">
        <v>24</v>
      </c>
      <c r="M108" t="s">
        <v>142</v>
      </c>
      <c r="N108" t="e">
        <f ca="1">IF(LEN(TRIM(A108))=0,"",IFERROR(_xll.BDP(A108,"PX_LAST"),NA()))</f>
        <v>#N/A</v>
      </c>
    </row>
    <row r="109" spans="1:14" x14ac:dyDescent="0.2">
      <c r="A109" t="s">
        <v>106</v>
      </c>
      <c r="B109" t="s">
        <v>83</v>
      </c>
      <c r="C109" t="s">
        <v>84</v>
      </c>
      <c r="D109" t="s">
        <v>17</v>
      </c>
      <c r="E109" t="s">
        <v>85</v>
      </c>
      <c r="F109" t="s">
        <v>103</v>
      </c>
      <c r="G109" t="s">
        <v>57</v>
      </c>
      <c r="H109" t="s">
        <v>104</v>
      </c>
      <c r="I109" t="str">
        <f ca="1">IF(LEN(TRIM($A109))=0,"",IFERROR(_xll.BDP($A109,"SECURITY_NAME"),""))</f>
        <v/>
      </c>
      <c r="J109" t="s">
        <v>22</v>
      </c>
      <c r="K109" t="s">
        <v>52</v>
      </c>
      <c r="L109" t="s">
        <v>24</v>
      </c>
      <c r="M109" t="s">
        <v>105</v>
      </c>
      <c r="N109" t="e">
        <f ca="1">IF(LEN(TRIM(A109))=0,"",IFERROR(_xll.BDP(A109,"PX_LAST"),NA()))</f>
        <v>#N/A</v>
      </c>
    </row>
    <row r="110" spans="1:14" x14ac:dyDescent="0.2">
      <c r="A110" t="s">
        <v>107</v>
      </c>
      <c r="B110" t="s">
        <v>83</v>
      </c>
      <c r="C110" t="s">
        <v>84</v>
      </c>
      <c r="D110" t="s">
        <v>17</v>
      </c>
      <c r="E110" t="s">
        <v>85</v>
      </c>
      <c r="F110" t="s">
        <v>103</v>
      </c>
      <c r="G110" t="s">
        <v>57</v>
      </c>
      <c r="H110" t="s">
        <v>104</v>
      </c>
      <c r="I110" t="str">
        <f ca="1">IF(LEN(TRIM($A110))=0,"",IFERROR(_xll.BDP($A110,"SECURITY_NAME"),""))</f>
        <v/>
      </c>
      <c r="J110" t="s">
        <v>22</v>
      </c>
      <c r="K110" t="s">
        <v>52</v>
      </c>
      <c r="L110" t="s">
        <v>24</v>
      </c>
      <c r="M110" t="s">
        <v>105</v>
      </c>
      <c r="N110" t="e">
        <f ca="1">IF(LEN(TRIM(A110))=0,"",IFERROR(_xll.BDP(A110,"PX_LAST"),NA()))</f>
        <v>#N/A</v>
      </c>
    </row>
    <row r="111" spans="1:14" x14ac:dyDescent="0.2">
      <c r="A111" t="s">
        <v>389</v>
      </c>
      <c r="B111" t="s">
        <v>75</v>
      </c>
      <c r="C111" t="s">
        <v>356</v>
      </c>
      <c r="D111" t="s">
        <v>342</v>
      </c>
      <c r="E111" t="s">
        <v>278</v>
      </c>
      <c r="F111" t="s">
        <v>390</v>
      </c>
      <c r="G111" t="s">
        <v>20</v>
      </c>
      <c r="H111" t="s">
        <v>21</v>
      </c>
      <c r="I111" t="str">
        <f ca="1">IF(LEN(TRIM($A111))=0,"",IFERROR(_xll.BDP($A111,"SECURITY_NAME"),""))</f>
        <v/>
      </c>
      <c r="J111" t="s">
        <v>22</v>
      </c>
      <c r="K111" t="s">
        <v>141</v>
      </c>
      <c r="L111" t="s">
        <v>24</v>
      </c>
      <c r="M111" t="s">
        <v>391</v>
      </c>
      <c r="N111" t="e">
        <f ca="1">IF(LEN(TRIM(A111))=0,"",IFERROR(_xll.BDP(A111,"PX_LAST"),NA()))</f>
        <v>#N/A</v>
      </c>
    </row>
    <row r="112" spans="1:14" x14ac:dyDescent="0.2">
      <c r="A112" t="s">
        <v>246</v>
      </c>
      <c r="B112" t="s">
        <v>197</v>
      </c>
      <c r="C112" t="s">
        <v>243</v>
      </c>
      <c r="D112" t="s">
        <v>17</v>
      </c>
      <c r="E112" t="s">
        <v>210</v>
      </c>
      <c r="F112" t="s">
        <v>247</v>
      </c>
      <c r="G112" t="s">
        <v>20</v>
      </c>
      <c r="H112" t="s">
        <v>21</v>
      </c>
      <c r="I112" t="str">
        <f ca="1">IF(LEN(TRIM($A112))=0,"",IFERROR(_xll.BDP($A112,"SECURITY_NAME"),""))</f>
        <v/>
      </c>
      <c r="J112" t="s">
        <v>22</v>
      </c>
      <c r="K112" t="s">
        <v>23</v>
      </c>
      <c r="L112" t="s">
        <v>24</v>
      </c>
      <c r="M112" t="s">
        <v>248</v>
      </c>
      <c r="N112" t="e">
        <f ca="1">IF(LEN(TRIM(A112))=0,"",IFERROR(_xll.BDP(A112,"PX_LAST"),NA()))</f>
        <v>#N/A</v>
      </c>
    </row>
    <row r="113" spans="1:14" x14ac:dyDescent="0.2">
      <c r="A113" t="s">
        <v>381</v>
      </c>
      <c r="B113" t="s">
        <v>75</v>
      </c>
      <c r="C113" t="s">
        <v>382</v>
      </c>
      <c r="D113" t="s">
        <v>342</v>
      </c>
      <c r="E113" t="s">
        <v>278</v>
      </c>
      <c r="F113" t="s">
        <v>383</v>
      </c>
      <c r="G113" t="s">
        <v>20</v>
      </c>
      <c r="H113" t="s">
        <v>21</v>
      </c>
      <c r="I113" t="str">
        <f ca="1">IF(LEN(TRIM($A113))=0,"",IFERROR(_xll.BDP($A113,"SECURITY_NAME"),""))</f>
        <v/>
      </c>
      <c r="J113" t="s">
        <v>22</v>
      </c>
      <c r="K113" t="s">
        <v>141</v>
      </c>
      <c r="L113" t="s">
        <v>24</v>
      </c>
      <c r="M113" t="s">
        <v>384</v>
      </c>
      <c r="N113" t="e">
        <f ca="1">IF(LEN(TRIM(A113))=0,"",IFERROR(_xll.BDP(A113,"PX_LAST"),NA()))</f>
        <v>#N/A</v>
      </c>
    </row>
    <row r="114" spans="1:14" x14ac:dyDescent="0.2">
      <c r="A114" t="s">
        <v>334</v>
      </c>
      <c r="B114" t="s">
        <v>75</v>
      </c>
      <c r="C114" t="s">
        <v>335</v>
      </c>
      <c r="D114" t="s">
        <v>17</v>
      </c>
      <c r="E114" t="s">
        <v>323</v>
      </c>
      <c r="F114" t="s">
        <v>336</v>
      </c>
      <c r="G114" t="s">
        <v>87</v>
      </c>
      <c r="H114" t="s">
        <v>130</v>
      </c>
      <c r="I114" t="str">
        <f ca="1">IF(LEN(TRIM($A114))=0,"",IFERROR(_xll.BDP($A114,"SECURITY_NAME"),""))</f>
        <v/>
      </c>
      <c r="J114" t="s">
        <v>22</v>
      </c>
      <c r="K114" t="s">
        <v>23</v>
      </c>
      <c r="L114" t="s">
        <v>24</v>
      </c>
      <c r="M114" t="s">
        <v>336</v>
      </c>
      <c r="N114" t="e">
        <f ca="1">IF(LEN(TRIM(A114))=0,"",IFERROR(_xll.BDP(A114,"PX_LAST"),NA()))</f>
        <v>#N/A</v>
      </c>
    </row>
    <row r="115" spans="1:14" x14ac:dyDescent="0.2">
      <c r="A115" t="s">
        <v>64</v>
      </c>
      <c r="B115" t="s">
        <v>60</v>
      </c>
      <c r="C115" t="s">
        <v>61</v>
      </c>
      <c r="D115" t="s">
        <v>17</v>
      </c>
      <c r="E115" t="s">
        <v>18</v>
      </c>
      <c r="F115" t="s">
        <v>62</v>
      </c>
      <c r="G115" t="s">
        <v>20</v>
      </c>
      <c r="H115" t="s">
        <v>21</v>
      </c>
      <c r="I115" t="str">
        <f ca="1">IF(LEN(TRIM($A115))=0,"",IFERROR(_xll.BDP($A115,"SECURITY_NAME"),""))</f>
        <v/>
      </c>
      <c r="J115" t="s">
        <v>22</v>
      </c>
      <c r="K115" t="s">
        <v>23</v>
      </c>
      <c r="L115" t="s">
        <v>24</v>
      </c>
      <c r="M115" t="s">
        <v>63</v>
      </c>
      <c r="N115" t="e">
        <f ca="1">IF(LEN(TRIM(A115))=0,"",IFERROR(_xll.BDP(A115,"PX_LAST"),NA()))</f>
        <v>#N/A</v>
      </c>
    </row>
    <row r="116" spans="1:14" x14ac:dyDescent="0.2">
      <c r="A116" t="s">
        <v>392</v>
      </c>
      <c r="B116" t="s">
        <v>75</v>
      </c>
      <c r="C116" t="s">
        <v>393</v>
      </c>
      <c r="D116" t="s">
        <v>342</v>
      </c>
      <c r="E116" t="s">
        <v>278</v>
      </c>
      <c r="F116" t="s">
        <v>394</v>
      </c>
      <c r="G116" t="s">
        <v>20</v>
      </c>
      <c r="H116" t="s">
        <v>21</v>
      </c>
      <c r="I116" t="str">
        <f ca="1">IF(LEN(TRIM($A116))=0,"",IFERROR(_xll.BDP($A116,"SECURITY_NAME"),""))</f>
        <v/>
      </c>
      <c r="J116" t="s">
        <v>22</v>
      </c>
      <c r="K116" t="s">
        <v>141</v>
      </c>
      <c r="L116" t="s">
        <v>24</v>
      </c>
      <c r="M116" t="s">
        <v>395</v>
      </c>
      <c r="N116" t="e">
        <f ca="1">IF(LEN(TRIM(A116))=0,"",IFERROR(_xll.BDP(A116,"PX_LAST"),NA()))</f>
        <v>#N/A</v>
      </c>
    </row>
    <row r="117" spans="1:14" x14ac:dyDescent="0.2">
      <c r="A117" t="s">
        <v>154</v>
      </c>
      <c r="B117" t="s">
        <v>83</v>
      </c>
      <c r="C117" t="s">
        <v>84</v>
      </c>
      <c r="D117" t="s">
        <v>17</v>
      </c>
      <c r="E117" t="s">
        <v>85</v>
      </c>
      <c r="F117" t="s">
        <v>140</v>
      </c>
      <c r="G117" t="s">
        <v>20</v>
      </c>
      <c r="H117" t="s">
        <v>21</v>
      </c>
      <c r="I117" t="str">
        <f ca="1">IF(LEN(TRIM($A117))=0,"",IFERROR(_xll.BDP($A117,"SECURITY_NAME"),""))</f>
        <v/>
      </c>
      <c r="J117" t="s">
        <v>22</v>
      </c>
      <c r="K117" t="s">
        <v>141</v>
      </c>
      <c r="L117" t="s">
        <v>24</v>
      </c>
      <c r="M117" t="s">
        <v>142</v>
      </c>
      <c r="N117" t="e">
        <f ca="1">IF(LEN(TRIM(A117))=0,"",IFERROR(_xll.BDP(A117,"PX_LAST"),NA()))</f>
        <v>#N/A</v>
      </c>
    </row>
    <row r="118" spans="1:14" x14ac:dyDescent="0.2">
      <c r="A118" t="s">
        <v>151</v>
      </c>
      <c r="B118" t="s">
        <v>83</v>
      </c>
      <c r="C118" t="s">
        <v>84</v>
      </c>
      <c r="D118" t="s">
        <v>17</v>
      </c>
      <c r="E118" t="s">
        <v>85</v>
      </c>
      <c r="F118" t="s">
        <v>140</v>
      </c>
      <c r="G118" t="s">
        <v>20</v>
      </c>
      <c r="H118" t="s">
        <v>21</v>
      </c>
      <c r="I118" t="str">
        <f ca="1">IF(LEN(TRIM($A118))=0,"",IFERROR(_xll.BDP($A118,"SECURITY_NAME"),""))</f>
        <v/>
      </c>
      <c r="J118" t="s">
        <v>22</v>
      </c>
      <c r="K118" t="s">
        <v>141</v>
      </c>
      <c r="L118" t="s">
        <v>24</v>
      </c>
      <c r="M118" t="s">
        <v>142</v>
      </c>
      <c r="N118" t="e">
        <f ca="1">IF(LEN(TRIM(A118))=0,"",IFERROR(_xll.BDP(A118,"PX_LAST"),NA()))</f>
        <v>#N/A</v>
      </c>
    </row>
    <row r="119" spans="1:14" x14ac:dyDescent="0.2">
      <c r="A119" t="s">
        <v>349</v>
      </c>
      <c r="B119" t="s">
        <v>75</v>
      </c>
      <c r="C119" t="s">
        <v>341</v>
      </c>
      <c r="D119" t="s">
        <v>342</v>
      </c>
      <c r="E119" t="s">
        <v>278</v>
      </c>
      <c r="F119" t="s">
        <v>350</v>
      </c>
      <c r="G119" t="s">
        <v>20</v>
      </c>
      <c r="H119" t="s">
        <v>21</v>
      </c>
      <c r="I119" t="str">
        <f ca="1">IF(LEN(TRIM($A119))=0,"",IFERROR(_xll.BDP($A119,"SECURITY_NAME"),""))</f>
        <v/>
      </c>
      <c r="J119" t="s">
        <v>22</v>
      </c>
      <c r="K119" t="s">
        <v>344</v>
      </c>
      <c r="L119" t="s">
        <v>24</v>
      </c>
      <c r="M119" t="s">
        <v>351</v>
      </c>
      <c r="N119" t="e">
        <f ca="1">IF(LEN(TRIM(A119))=0,"",IFERROR(_xll.BDP(A119,"PX_LAST"),NA()))</f>
        <v>#N/A</v>
      </c>
    </row>
    <row r="120" spans="1:14" x14ac:dyDescent="0.2">
      <c r="A120" t="s">
        <v>320</v>
      </c>
      <c r="B120" t="s">
        <v>21</v>
      </c>
      <c r="C120" t="s">
        <v>309</v>
      </c>
      <c r="D120" t="s">
        <v>17</v>
      </c>
      <c r="E120" t="s">
        <v>300</v>
      </c>
      <c r="F120" t="s">
        <v>310</v>
      </c>
      <c r="G120" t="s">
        <v>20</v>
      </c>
      <c r="H120" t="s">
        <v>21</v>
      </c>
      <c r="I120" t="str">
        <f ca="1">IF(LEN(TRIM($A120))=0,"",IFERROR(_xll.BDP($A120,"SECURITY_NAME"),""))</f>
        <v/>
      </c>
      <c r="J120" t="s">
        <v>22</v>
      </c>
      <c r="K120" t="s">
        <v>141</v>
      </c>
      <c r="L120" t="s">
        <v>24</v>
      </c>
      <c r="M120" t="s">
        <v>311</v>
      </c>
      <c r="N120" t="e">
        <f ca="1">IF(LEN(TRIM(A120))=0,"",IFERROR(_xll.BDP(A120,"PX_LAST"),NA()))</f>
        <v>#N/A</v>
      </c>
    </row>
    <row r="121" spans="1:14" x14ac:dyDescent="0.2">
      <c r="A121" t="s">
        <v>124</v>
      </c>
      <c r="B121" t="s">
        <v>83</v>
      </c>
      <c r="C121" t="s">
        <v>84</v>
      </c>
      <c r="D121" t="s">
        <v>17</v>
      </c>
      <c r="E121" t="s">
        <v>85</v>
      </c>
      <c r="F121" t="s">
        <v>125</v>
      </c>
      <c r="G121" t="s">
        <v>57</v>
      </c>
      <c r="H121" t="s">
        <v>126</v>
      </c>
      <c r="I121" t="str">
        <f ca="1">IF(LEN(TRIM($A121))=0,"",IFERROR(_xll.BDP($A121,"SECURITY_NAME"),""))</f>
        <v/>
      </c>
      <c r="J121" t="s">
        <v>22</v>
      </c>
      <c r="K121" t="s">
        <v>89</v>
      </c>
      <c r="L121" t="s">
        <v>24</v>
      </c>
      <c r="M121" t="s">
        <v>127</v>
      </c>
      <c r="N121" t="e">
        <f ca="1">IF(LEN(TRIM(A121))=0,"",IFERROR(_xll.BDP(A121,"PX_LAST"),NA()))</f>
        <v>#N/A</v>
      </c>
    </row>
    <row r="122" spans="1:14" x14ac:dyDescent="0.2">
      <c r="A122" t="s">
        <v>319</v>
      </c>
      <c r="B122" t="s">
        <v>21</v>
      </c>
      <c r="C122" t="s">
        <v>309</v>
      </c>
      <c r="D122" t="s">
        <v>17</v>
      </c>
      <c r="E122" t="s">
        <v>300</v>
      </c>
      <c r="F122" t="s">
        <v>310</v>
      </c>
      <c r="G122" t="s">
        <v>20</v>
      </c>
      <c r="H122" t="s">
        <v>21</v>
      </c>
      <c r="I122" t="str">
        <f ca="1">IF(LEN(TRIM($A122))=0,"",IFERROR(_xll.BDP($A122,"SECURITY_NAME"),""))</f>
        <v/>
      </c>
      <c r="J122" t="s">
        <v>22</v>
      </c>
      <c r="K122" t="s">
        <v>141</v>
      </c>
      <c r="L122" t="s">
        <v>24</v>
      </c>
      <c r="M122" t="s">
        <v>311</v>
      </c>
      <c r="N122" t="e">
        <f ca="1">IF(LEN(TRIM(A122))=0,"",IFERROR(_xll.BDP(A122,"PX_LAST"),NA()))</f>
        <v>#N/A</v>
      </c>
    </row>
    <row r="123" spans="1:14" x14ac:dyDescent="0.2">
      <c r="A123" t="s">
        <v>460</v>
      </c>
      <c r="B123" t="s">
        <v>75</v>
      </c>
      <c r="C123" t="s">
        <v>461</v>
      </c>
      <c r="D123" t="s">
        <v>455</v>
      </c>
      <c r="E123" t="s">
        <v>278</v>
      </c>
      <c r="F123" t="s">
        <v>462</v>
      </c>
      <c r="G123" t="s">
        <v>255</v>
      </c>
      <c r="H123" t="s">
        <v>278</v>
      </c>
      <c r="I123" t="str">
        <f ca="1">IF(LEN(TRIM($A123))=0,"",IFERROR(_xll.BDP($A123,"SECURITY_NAME"),""))</f>
        <v/>
      </c>
      <c r="J123" t="s">
        <v>22</v>
      </c>
      <c r="K123" t="s">
        <v>52</v>
      </c>
      <c r="L123" t="s">
        <v>24</v>
      </c>
      <c r="M123" t="s">
        <v>463</v>
      </c>
      <c r="N123" t="e">
        <f ca="1">IF(LEN(TRIM(A123))=0,"",IFERROR(_xll.BDP(A123,"PX_LAST"),NA()))</f>
        <v>#N/A</v>
      </c>
    </row>
    <row r="124" spans="1:14" x14ac:dyDescent="0.2">
      <c r="A124" t="s">
        <v>112</v>
      </c>
      <c r="B124" t="s">
        <v>83</v>
      </c>
      <c r="C124" t="s">
        <v>84</v>
      </c>
      <c r="D124" t="s">
        <v>17</v>
      </c>
      <c r="E124" t="s">
        <v>85</v>
      </c>
      <c r="F124" t="s">
        <v>113</v>
      </c>
      <c r="G124" t="s">
        <v>87</v>
      </c>
      <c r="H124" t="s">
        <v>114</v>
      </c>
      <c r="I124" t="str">
        <f ca="1">IF(LEN(TRIM($A124))=0,"",IFERROR(_xll.BDP($A124,"SECURITY_NAME"),""))</f>
        <v/>
      </c>
      <c r="J124" t="s">
        <v>22</v>
      </c>
      <c r="K124" t="s">
        <v>52</v>
      </c>
      <c r="L124" t="s">
        <v>24</v>
      </c>
      <c r="M124" t="s">
        <v>115</v>
      </c>
      <c r="N124" t="e">
        <f ca="1">IF(LEN(TRIM(A124))=0,"",IFERROR(_xll.BDP(A124,"PX_LAST"),NA()))</f>
        <v>#N/A</v>
      </c>
    </row>
    <row r="125" spans="1:14" x14ac:dyDescent="0.2">
      <c r="A125" t="s">
        <v>472</v>
      </c>
      <c r="B125" t="s">
        <v>75</v>
      </c>
      <c r="C125" t="s">
        <v>473</v>
      </c>
      <c r="D125" t="s">
        <v>455</v>
      </c>
      <c r="E125" t="s">
        <v>278</v>
      </c>
      <c r="F125" t="s">
        <v>474</v>
      </c>
      <c r="G125" t="s">
        <v>255</v>
      </c>
      <c r="H125" t="s">
        <v>278</v>
      </c>
      <c r="I125" t="str">
        <f ca="1">IF(LEN(TRIM($A125))=0,"",IFERROR(_xll.BDP($A125,"SECURITY_NAME"),""))</f>
        <v/>
      </c>
      <c r="J125" t="s">
        <v>22</v>
      </c>
      <c r="K125" t="s">
        <v>34</v>
      </c>
      <c r="L125" t="s">
        <v>24</v>
      </c>
      <c r="M125" t="s">
        <v>475</v>
      </c>
      <c r="N125" t="e">
        <f ca="1">IF(LEN(TRIM(A125))=0,"",IFERROR(_xll.BDP(A125,"PX_LAST"),NA()))</f>
        <v>#N/A</v>
      </c>
    </row>
    <row r="126" spans="1:14" x14ac:dyDescent="0.2">
      <c r="A126" t="s">
        <v>134</v>
      </c>
      <c r="B126" t="s">
        <v>83</v>
      </c>
      <c r="C126" t="s">
        <v>84</v>
      </c>
      <c r="D126" t="s">
        <v>17</v>
      </c>
      <c r="E126" t="s">
        <v>85</v>
      </c>
      <c r="F126" t="s">
        <v>135</v>
      </c>
      <c r="G126" t="s">
        <v>57</v>
      </c>
      <c r="H126" t="s">
        <v>136</v>
      </c>
      <c r="I126" t="str">
        <f ca="1">IF(LEN(TRIM($A126))=0,"",IFERROR(_xll.BDP($A126,"SECURITY_NAME"),""))</f>
        <v/>
      </c>
      <c r="J126" t="s">
        <v>22</v>
      </c>
      <c r="K126" t="s">
        <v>52</v>
      </c>
      <c r="L126" t="s">
        <v>24</v>
      </c>
      <c r="M126" t="s">
        <v>137</v>
      </c>
      <c r="N126" t="e">
        <f ca="1">IF(LEN(TRIM(A126))=0,"",IFERROR(_xll.BDP(A126,"PX_LAST"),NA()))</f>
        <v>#N/A</v>
      </c>
    </row>
    <row r="127" spans="1:14" x14ac:dyDescent="0.2">
      <c r="A127" t="s">
        <v>385</v>
      </c>
      <c r="B127" t="s">
        <v>75</v>
      </c>
      <c r="C127" t="s">
        <v>386</v>
      </c>
      <c r="D127" t="s">
        <v>342</v>
      </c>
      <c r="E127" t="s">
        <v>278</v>
      </c>
      <c r="F127" t="s">
        <v>387</v>
      </c>
      <c r="G127" t="s">
        <v>20</v>
      </c>
      <c r="H127" t="s">
        <v>21</v>
      </c>
      <c r="I127" t="str">
        <f ca="1">IF(LEN(TRIM($A127))=0,"",IFERROR(_xll.BDP($A127,"SECURITY_NAME"),""))</f>
        <v/>
      </c>
      <c r="J127" t="s">
        <v>22</v>
      </c>
      <c r="K127" t="s">
        <v>141</v>
      </c>
      <c r="L127" t="s">
        <v>24</v>
      </c>
      <c r="M127" t="s">
        <v>388</v>
      </c>
      <c r="N127" t="e">
        <f ca="1">IF(LEN(TRIM(A127))=0,"",IFERROR(_xll.BDP(A127,"PX_LAST"),NA()))</f>
        <v>#N/A</v>
      </c>
    </row>
    <row r="128" spans="1:14" x14ac:dyDescent="0.2">
      <c r="A128" t="s">
        <v>234</v>
      </c>
      <c r="B128" t="s">
        <v>197</v>
      </c>
      <c r="C128" t="s">
        <v>231</v>
      </c>
      <c r="D128" t="s">
        <v>17</v>
      </c>
      <c r="E128" t="s">
        <v>210</v>
      </c>
      <c r="F128" t="s">
        <v>235</v>
      </c>
      <c r="G128" t="s">
        <v>57</v>
      </c>
      <c r="H128" t="s">
        <v>110</v>
      </c>
      <c r="I128" t="str">
        <f ca="1">IF(LEN(TRIM($A128))=0,"",IFERROR(_xll.BDP($A128,"SECURITY_NAME"),""))</f>
        <v/>
      </c>
      <c r="J128" t="s">
        <v>22</v>
      </c>
      <c r="K128" t="s">
        <v>52</v>
      </c>
      <c r="L128" t="s">
        <v>24</v>
      </c>
      <c r="M128" t="s">
        <v>236</v>
      </c>
      <c r="N128" t="e">
        <f ca="1">IF(LEN(TRIM(A128))=0,"",IFERROR(_xll.BDP(A128,"PX_LAST"),NA()))</f>
        <v>#N/A</v>
      </c>
    </row>
    <row r="129" spans="1:14" x14ac:dyDescent="0.2">
      <c r="A129" t="s">
        <v>332</v>
      </c>
      <c r="B129" t="s">
        <v>197</v>
      </c>
      <c r="C129" t="s">
        <v>329</v>
      </c>
      <c r="D129" t="s">
        <v>17</v>
      </c>
      <c r="E129" t="s">
        <v>323</v>
      </c>
      <c r="F129" t="s">
        <v>330</v>
      </c>
      <c r="G129" t="s">
        <v>57</v>
      </c>
      <c r="H129" t="s">
        <v>110</v>
      </c>
      <c r="I129" t="str">
        <f ca="1">IF(LEN(TRIM($A129))=0,"",IFERROR(_xll.BDP($A129,"SECURITY_NAME"),""))</f>
        <v/>
      </c>
      <c r="J129" t="s">
        <v>22</v>
      </c>
      <c r="K129" t="s">
        <v>23</v>
      </c>
      <c r="L129" t="s">
        <v>24</v>
      </c>
      <c r="M129" t="s">
        <v>331</v>
      </c>
      <c r="N129" t="e">
        <f ca="1">IF(LEN(TRIM(A129))=0,"",IFERROR(_xll.BDP(A129,"PX_LAST"),NA()))</f>
        <v>#N/A</v>
      </c>
    </row>
    <row r="130" spans="1:14" x14ac:dyDescent="0.2">
      <c r="A130" t="s">
        <v>207</v>
      </c>
      <c r="B130" t="s">
        <v>197</v>
      </c>
      <c r="C130" t="s">
        <v>203</v>
      </c>
      <c r="D130" t="s">
        <v>17</v>
      </c>
      <c r="E130" t="s">
        <v>170</v>
      </c>
      <c r="F130" t="s">
        <v>204</v>
      </c>
      <c r="G130" t="s">
        <v>57</v>
      </c>
      <c r="H130" t="s">
        <v>81</v>
      </c>
      <c r="I130" t="str">
        <f ca="1">IF(LEN(TRIM($A130))=0,"",IFERROR(_xll.BDP($A130,"SECURITY_NAME"),""))</f>
        <v/>
      </c>
      <c r="J130" t="s">
        <v>22</v>
      </c>
      <c r="K130" t="s">
        <v>205</v>
      </c>
      <c r="L130" t="s">
        <v>24</v>
      </c>
      <c r="M130" t="s">
        <v>206</v>
      </c>
      <c r="N130" t="e">
        <f ca="1">IF(LEN(TRIM(A130))=0,"",IFERROR(_xll.BDP(A130,"PX_LAST"),NA()))</f>
        <v>#N/A</v>
      </c>
    </row>
    <row r="131" spans="1:14" x14ac:dyDescent="0.2">
      <c r="A131" t="s">
        <v>240</v>
      </c>
      <c r="B131" t="s">
        <v>197</v>
      </c>
      <c r="C131" t="s">
        <v>231</v>
      </c>
      <c r="D131" t="s">
        <v>17</v>
      </c>
      <c r="E131" t="s">
        <v>210</v>
      </c>
      <c r="F131" t="s">
        <v>241</v>
      </c>
      <c r="G131" t="s">
        <v>20</v>
      </c>
      <c r="H131" t="s">
        <v>21</v>
      </c>
      <c r="I131" t="str">
        <f ca="1">IF(LEN(TRIM($A131))=0,"",IFERROR(_xll.BDP($A131,"SECURITY_NAME"),""))</f>
        <v/>
      </c>
      <c r="J131" t="s">
        <v>22</v>
      </c>
      <c r="K131" t="s">
        <v>205</v>
      </c>
      <c r="L131" t="s">
        <v>24</v>
      </c>
      <c r="M131" t="s">
        <v>239</v>
      </c>
      <c r="N131" t="e">
        <f ca="1">IF(LEN(TRIM(A131))=0,"",IFERROR(_xll.BDP(A131,"PX_LAST"),NA()))</f>
        <v>#N/A</v>
      </c>
    </row>
    <row r="132" spans="1:14" x14ac:dyDescent="0.2">
      <c r="A132" t="s">
        <v>481</v>
      </c>
      <c r="B132" t="s">
        <v>197</v>
      </c>
      <c r="C132" t="s">
        <v>198</v>
      </c>
      <c r="D132" t="s">
        <v>17</v>
      </c>
      <c r="E132" t="s">
        <v>170</v>
      </c>
      <c r="F132" t="s">
        <v>199</v>
      </c>
      <c r="G132" t="s">
        <v>20</v>
      </c>
      <c r="H132" t="s">
        <v>21</v>
      </c>
      <c r="I132" t="str">
        <f ca="1">IF(LEN(TRIM($A132))=0,"",IFERROR(_xll.BDP($A132,"SECURITY_NAME"),""))</f>
        <v/>
      </c>
      <c r="J132" t="s">
        <v>22</v>
      </c>
      <c r="K132" t="s">
        <v>200</v>
      </c>
      <c r="L132" t="s">
        <v>24</v>
      </c>
      <c r="M132" t="s">
        <v>201</v>
      </c>
      <c r="N132" t="e">
        <f ca="1">IF(LEN(TRIM(A132))=0,"",IFERROR(_xll.BDP(A132,"PX_LAST"),NA()))</f>
        <v>#N/A</v>
      </c>
    </row>
    <row r="133" spans="1:14" x14ac:dyDescent="0.2">
      <c r="A133" t="s">
        <v>482</v>
      </c>
      <c r="B133" t="s">
        <v>197</v>
      </c>
      <c r="C133" t="s">
        <v>203</v>
      </c>
      <c r="D133" t="s">
        <v>17</v>
      </c>
      <c r="E133" t="s">
        <v>170</v>
      </c>
      <c r="F133" t="s">
        <v>204</v>
      </c>
      <c r="G133" t="s">
        <v>57</v>
      </c>
      <c r="H133" t="s">
        <v>81</v>
      </c>
      <c r="I133" t="str">
        <f ca="1">IF(LEN(TRIM($A133))=0,"",IFERROR(_xll.BDP($A133,"SECURITY_NAME"),""))</f>
        <v/>
      </c>
      <c r="J133" t="s">
        <v>22</v>
      </c>
      <c r="K133" t="s">
        <v>205</v>
      </c>
      <c r="L133" t="s">
        <v>24</v>
      </c>
      <c r="M133" t="s">
        <v>206</v>
      </c>
      <c r="N133" t="e">
        <f ca="1">IF(LEN(TRIM(A133))=0,"",IFERROR(_xll.BDP(A133,"PX_LAST"),NA()))</f>
        <v>#N/A</v>
      </c>
    </row>
    <row r="134" spans="1:14" x14ac:dyDescent="0.2">
      <c r="A134" t="s">
        <v>196</v>
      </c>
      <c r="B134" t="s">
        <v>197</v>
      </c>
      <c r="C134" t="s">
        <v>322</v>
      </c>
      <c r="D134" t="s">
        <v>17</v>
      </c>
      <c r="E134" t="s">
        <v>323</v>
      </c>
      <c r="F134" t="s">
        <v>21</v>
      </c>
      <c r="G134" t="s">
        <v>20</v>
      </c>
      <c r="H134" t="s">
        <v>21</v>
      </c>
      <c r="I134" t="str">
        <f ca="1">IF(LEN(TRIM($A134))=0,"",IFERROR(_xll.BDP($A134,"SECURITY_NAME"),""))</f>
        <v/>
      </c>
      <c r="J134" t="s">
        <v>22</v>
      </c>
      <c r="K134" t="s">
        <v>23</v>
      </c>
      <c r="L134" t="s">
        <v>24</v>
      </c>
      <c r="M134" t="s">
        <v>324</v>
      </c>
      <c r="N134" t="e">
        <f ca="1">IF(LEN(TRIM(A134))=0,"",IFERROR(_xll.BDP(A134,"PX_LAST"),NA()))</f>
        <v>#N/A</v>
      </c>
    </row>
    <row r="135" spans="1:14" x14ac:dyDescent="0.2">
      <c r="A135" t="s">
        <v>202</v>
      </c>
      <c r="B135" t="s">
        <v>197</v>
      </c>
      <c r="C135" t="s">
        <v>198</v>
      </c>
      <c r="D135" t="s">
        <v>17</v>
      </c>
      <c r="E135" t="s">
        <v>170</v>
      </c>
      <c r="F135" t="s">
        <v>199</v>
      </c>
      <c r="G135" t="s">
        <v>20</v>
      </c>
      <c r="H135" t="s">
        <v>21</v>
      </c>
      <c r="I135" t="str">
        <f ca="1">IF(LEN(TRIM($A135))=0,"",IFERROR(_xll.BDP($A135,"SECURITY_NAME"),""))</f>
        <v/>
      </c>
      <c r="J135" t="s">
        <v>22</v>
      </c>
      <c r="K135" t="s">
        <v>200</v>
      </c>
      <c r="L135" t="s">
        <v>24</v>
      </c>
      <c r="M135" t="s">
        <v>201</v>
      </c>
      <c r="N135" t="e">
        <f ca="1">IF(LEN(TRIM(A135))=0,"",IFERROR(_xll.BDP(A135,"PX_LAST"),NA()))</f>
        <v>#N/A</v>
      </c>
    </row>
    <row r="136" spans="1:14" x14ac:dyDescent="0.2">
      <c r="A136" t="s">
        <v>339</v>
      </c>
      <c r="B136" t="s">
        <v>75</v>
      </c>
      <c r="C136" t="s">
        <v>335</v>
      </c>
      <c r="D136" t="s">
        <v>17</v>
      </c>
      <c r="E136" t="s">
        <v>323</v>
      </c>
      <c r="F136" t="s">
        <v>336</v>
      </c>
      <c r="G136" t="s">
        <v>87</v>
      </c>
      <c r="H136" t="s">
        <v>224</v>
      </c>
      <c r="I136" t="str">
        <f ca="1">IF(LEN(TRIM($A136))=0,"",IFERROR(_xll.BDP($A136,"SECURITY_NAME"),""))</f>
        <v/>
      </c>
      <c r="J136" t="s">
        <v>22</v>
      </c>
      <c r="K136" t="s">
        <v>23</v>
      </c>
      <c r="L136" t="s">
        <v>24</v>
      </c>
      <c r="M136" t="s">
        <v>336</v>
      </c>
      <c r="N136" t="e">
        <f ca="1">IF(LEN(TRIM(A136))=0,"",IFERROR(_xll.BDP(A136,"PX_LAST"),NA()))</f>
        <v>#N/A</v>
      </c>
    </row>
    <row r="137" spans="1:14" x14ac:dyDescent="0.2">
      <c r="A137" t="s">
        <v>449</v>
      </c>
      <c r="B137" t="s">
        <v>75</v>
      </c>
      <c r="C137" t="s">
        <v>450</v>
      </c>
      <c r="D137" t="s">
        <v>402</v>
      </c>
      <c r="E137" t="s">
        <v>278</v>
      </c>
      <c r="F137" t="s">
        <v>451</v>
      </c>
      <c r="G137" t="s">
        <v>87</v>
      </c>
      <c r="H137" t="s">
        <v>224</v>
      </c>
      <c r="I137" t="str">
        <f ca="1">IF(LEN(TRIM($A137))=0,"",IFERROR(_xll.BDP($A137,"SECURITY_NAME"),""))</f>
        <v/>
      </c>
      <c r="J137" t="s">
        <v>22</v>
      </c>
      <c r="K137" t="s">
        <v>445</v>
      </c>
      <c r="L137" t="s">
        <v>24</v>
      </c>
      <c r="M137" t="s">
        <v>452</v>
      </c>
      <c r="N137" t="e">
        <f ca="1">IF(LEN(TRIM(A137))=0,"",IFERROR(_xll.BDP(A137,"PX_LAST"),NA()))</f>
        <v>#N/A</v>
      </c>
    </row>
    <row r="138" spans="1:14" x14ac:dyDescent="0.2">
      <c r="A138" t="s">
        <v>337</v>
      </c>
      <c r="B138" t="s">
        <v>75</v>
      </c>
      <c r="C138" t="s">
        <v>335</v>
      </c>
      <c r="D138" t="s">
        <v>17</v>
      </c>
      <c r="E138" t="s">
        <v>323</v>
      </c>
      <c r="F138" t="s">
        <v>336</v>
      </c>
      <c r="G138" t="s">
        <v>87</v>
      </c>
      <c r="H138" t="s">
        <v>224</v>
      </c>
      <c r="I138" t="str">
        <f ca="1">IF(LEN(TRIM($A138))=0,"",IFERROR(_xll.BDP($A138,"SECURITY_NAME"),""))</f>
        <v/>
      </c>
      <c r="J138" t="s">
        <v>22</v>
      </c>
      <c r="K138" t="s">
        <v>23</v>
      </c>
      <c r="L138" t="s">
        <v>24</v>
      </c>
      <c r="M138" t="s">
        <v>336</v>
      </c>
      <c r="N138" t="e">
        <f ca="1">IF(LEN(TRIM(A138))=0,"",IFERROR(_xll.BDP(A138,"PX_LAST"),NA()))</f>
        <v>#N/A</v>
      </c>
    </row>
    <row r="139" spans="1:14" x14ac:dyDescent="0.2">
      <c r="A139" t="s">
        <v>458</v>
      </c>
      <c r="B139" t="s">
        <v>75</v>
      </c>
      <c r="C139" t="s">
        <v>459</v>
      </c>
      <c r="D139" t="s">
        <v>455</v>
      </c>
      <c r="E139" t="s">
        <v>278</v>
      </c>
      <c r="F139" t="s">
        <v>469</v>
      </c>
      <c r="G139" t="s">
        <v>20</v>
      </c>
      <c r="H139" t="s">
        <v>21</v>
      </c>
      <c r="I139" t="str">
        <f ca="1">IF(LEN(TRIM($A139))=0,"",IFERROR(_xll.BDP($A139,"SECURITY_NAME"),""))</f>
        <v/>
      </c>
      <c r="J139" t="s">
        <v>22</v>
      </c>
      <c r="K139" t="s">
        <v>470</v>
      </c>
      <c r="L139" t="s">
        <v>24</v>
      </c>
      <c r="M139" t="s">
        <v>471</v>
      </c>
      <c r="N139" t="e">
        <f ca="1">IF(LEN(TRIM(A139))=0,"",IFERROR(_xll.BDP(A139,"PX_LAST"),NA()))</f>
        <v>#N/A</v>
      </c>
    </row>
    <row r="140" spans="1:14" x14ac:dyDescent="0.2">
      <c r="A140" t="s">
        <v>166</v>
      </c>
      <c r="B140" t="s">
        <v>83</v>
      </c>
      <c r="C140" t="s">
        <v>84</v>
      </c>
      <c r="D140" t="s">
        <v>17</v>
      </c>
      <c r="E140" t="s">
        <v>85</v>
      </c>
      <c r="F140" t="s">
        <v>140</v>
      </c>
      <c r="G140" t="s">
        <v>20</v>
      </c>
      <c r="H140" t="s">
        <v>21</v>
      </c>
      <c r="I140" t="str">
        <f ca="1">IF(LEN(TRIM($A140))=0,"",IFERROR(_xll.BDP($A140,"SECURITY_NAME"),""))</f>
        <v/>
      </c>
      <c r="J140" t="s">
        <v>22</v>
      </c>
      <c r="K140" t="s">
        <v>141</v>
      </c>
      <c r="L140" t="s">
        <v>24</v>
      </c>
      <c r="M140" t="s">
        <v>142</v>
      </c>
      <c r="N140" t="e">
        <f ca="1">IF(LEN(TRIM(A140))=0,"",IFERROR(_xll.BDP(A140,"PX_LAST"),NA()))</f>
        <v>#N/A</v>
      </c>
    </row>
    <row r="141" spans="1:14" x14ac:dyDescent="0.2">
      <c r="A141" t="s">
        <v>186</v>
      </c>
      <c r="B141" t="s">
        <v>75</v>
      </c>
      <c r="C141" t="s">
        <v>187</v>
      </c>
      <c r="D141" t="s">
        <v>17</v>
      </c>
      <c r="E141" t="s">
        <v>170</v>
      </c>
      <c r="F141" t="s">
        <v>188</v>
      </c>
      <c r="G141" t="s">
        <v>20</v>
      </c>
      <c r="H141" t="s">
        <v>21</v>
      </c>
      <c r="I141" t="str">
        <f ca="1">IF(LEN(TRIM($A141))=0,"",IFERROR(_xll.BDP($A141,"SECURITY_NAME"),""))</f>
        <v/>
      </c>
      <c r="J141" t="s">
        <v>22</v>
      </c>
      <c r="K141" t="s">
        <v>182</v>
      </c>
      <c r="L141" t="s">
        <v>24</v>
      </c>
      <c r="M141" t="s">
        <v>189</v>
      </c>
      <c r="N141" t="e">
        <f ca="1">IF(LEN(TRIM(A141))=0,"",IFERROR(_xll.BDP(A141,"PX_LAST"),NA()))</f>
        <v>#N/A</v>
      </c>
    </row>
    <row r="142" spans="1:14" x14ac:dyDescent="0.2">
      <c r="A142" t="s">
        <v>190</v>
      </c>
      <c r="B142" t="s">
        <v>75</v>
      </c>
      <c r="C142" t="s">
        <v>187</v>
      </c>
      <c r="D142" t="s">
        <v>17</v>
      </c>
      <c r="E142" t="s">
        <v>170</v>
      </c>
      <c r="F142" t="s">
        <v>188</v>
      </c>
      <c r="G142" t="s">
        <v>20</v>
      </c>
      <c r="H142" t="s">
        <v>21</v>
      </c>
      <c r="I142" t="str">
        <f ca="1">IF(LEN(TRIM($A142))=0,"",IFERROR(_xll.BDP($A142,"SECURITY_NAME"),""))</f>
        <v/>
      </c>
      <c r="J142" t="s">
        <v>22</v>
      </c>
      <c r="K142" t="s">
        <v>182</v>
      </c>
      <c r="L142" t="s">
        <v>24</v>
      </c>
      <c r="M142" t="s">
        <v>189</v>
      </c>
      <c r="N142" t="e">
        <f ca="1">IF(LEN(TRIM(A142))=0,"",IFERROR(_xll.BDP(A142,"PX_LAST"),NA()))</f>
        <v>#N/A</v>
      </c>
    </row>
    <row r="143" spans="1:14" x14ac:dyDescent="0.2">
      <c r="A143" t="s">
        <v>298</v>
      </c>
      <c r="B143" t="s">
        <v>83</v>
      </c>
      <c r="C143" t="s">
        <v>299</v>
      </c>
      <c r="D143" t="s">
        <v>17</v>
      </c>
      <c r="E143" t="s">
        <v>300</v>
      </c>
      <c r="F143" t="s">
        <v>301</v>
      </c>
      <c r="G143" t="s">
        <v>20</v>
      </c>
      <c r="H143" t="s">
        <v>21</v>
      </c>
      <c r="I143" t="str">
        <f ca="1">IF(LEN(TRIM($A143))=0,"",IFERROR(_xll.BDP($A143,"SECURITY_NAME"),""))</f>
        <v/>
      </c>
      <c r="J143" t="s">
        <v>22</v>
      </c>
      <c r="K143" t="s">
        <v>34</v>
      </c>
      <c r="L143" t="s">
        <v>24</v>
      </c>
      <c r="M143" t="s">
        <v>302</v>
      </c>
      <c r="N143" t="e">
        <f ca="1">IF(LEN(TRIM(A143))=0,"",IFERROR(_xll.BDP(A143,"PX_LAST"),NA()))</f>
        <v>#N/A</v>
      </c>
    </row>
    <row r="144" spans="1:14" x14ac:dyDescent="0.2">
      <c r="A144" t="s">
        <v>338</v>
      </c>
      <c r="B144" t="s">
        <v>75</v>
      </c>
      <c r="C144" t="s">
        <v>335</v>
      </c>
      <c r="D144" t="s">
        <v>17</v>
      </c>
      <c r="E144" t="s">
        <v>323</v>
      </c>
      <c r="F144" t="s">
        <v>336</v>
      </c>
      <c r="G144" t="s">
        <v>87</v>
      </c>
      <c r="H144" t="s">
        <v>224</v>
      </c>
      <c r="I144" t="str">
        <f ca="1">IF(LEN(TRIM($A144))=0,"",IFERROR(_xll.BDP($A144,"SECURITY_NAME"),""))</f>
        <v/>
      </c>
      <c r="J144" t="s">
        <v>22</v>
      </c>
      <c r="K144" t="s">
        <v>23</v>
      </c>
      <c r="L144" t="s">
        <v>24</v>
      </c>
      <c r="M144" t="s">
        <v>336</v>
      </c>
      <c r="N144" t="e">
        <f ca="1">IF(LEN(TRIM(A144))=0,"",IFERROR(_xll.BDP(A144,"PX_LAST"),NA()))</f>
        <v>#N/A</v>
      </c>
    </row>
    <row r="145" spans="1:14" x14ac:dyDescent="0.2">
      <c r="A145" t="s">
        <v>226</v>
      </c>
      <c r="B145" t="s">
        <v>75</v>
      </c>
      <c r="C145" t="s">
        <v>209</v>
      </c>
      <c r="D145" t="s">
        <v>17</v>
      </c>
      <c r="E145" t="s">
        <v>210</v>
      </c>
      <c r="F145" t="s">
        <v>227</v>
      </c>
      <c r="G145" t="s">
        <v>87</v>
      </c>
      <c r="H145" t="s">
        <v>224</v>
      </c>
      <c r="I145" t="str">
        <f ca="1">IF(LEN(TRIM($A145))=0,"",IFERROR(_xll.BDP($A145,"SECURITY_NAME"),""))</f>
        <v/>
      </c>
      <c r="J145" t="s">
        <v>22</v>
      </c>
      <c r="K145" t="s">
        <v>23</v>
      </c>
      <c r="L145" t="s">
        <v>24</v>
      </c>
      <c r="M145" t="s">
        <v>225</v>
      </c>
      <c r="N145" t="e">
        <f ca="1">IF(LEN(TRIM(A145))=0,"",IFERROR(_xll.BDP(A145,"PX_LAST"),NA()))</f>
        <v>#N/A</v>
      </c>
    </row>
    <row r="146" spans="1:14" x14ac:dyDescent="0.2">
      <c r="A146" t="s">
        <v>29</v>
      </c>
      <c r="B146" t="s">
        <v>15</v>
      </c>
      <c r="C146" t="s">
        <v>16</v>
      </c>
      <c r="D146" t="s">
        <v>17</v>
      </c>
      <c r="E146" t="s">
        <v>18</v>
      </c>
      <c r="F146" t="s">
        <v>19</v>
      </c>
      <c r="G146" t="s">
        <v>20</v>
      </c>
      <c r="H146" t="s">
        <v>21</v>
      </c>
      <c r="I146" t="str">
        <f ca="1">IF(LEN(TRIM($A146))=0,"",IFERROR(_xll.BDP($A146,"SECURITY_NAME"),""))</f>
        <v/>
      </c>
      <c r="J146" t="s">
        <v>22</v>
      </c>
      <c r="K146" t="s">
        <v>23</v>
      </c>
      <c r="L146" t="s">
        <v>24</v>
      </c>
      <c r="M146" t="s">
        <v>25</v>
      </c>
      <c r="N146" t="e">
        <f ca="1">IF(LEN(TRIM(A146))=0,"",IFERROR(_xll.BDP(A146,"PX_LAST"),NA()))</f>
        <v>#N/A</v>
      </c>
    </row>
    <row r="147" spans="1:14" x14ac:dyDescent="0.2">
      <c r="A147" t="s">
        <v>146</v>
      </c>
      <c r="B147" t="s">
        <v>83</v>
      </c>
      <c r="C147" t="s">
        <v>84</v>
      </c>
      <c r="D147" t="s">
        <v>17</v>
      </c>
      <c r="E147" t="s">
        <v>85</v>
      </c>
      <c r="F147" t="s">
        <v>140</v>
      </c>
      <c r="G147" t="s">
        <v>20</v>
      </c>
      <c r="H147" t="s">
        <v>21</v>
      </c>
      <c r="I147" t="str">
        <f ca="1">IF(LEN(TRIM($A147))=0,"",IFERROR(_xll.BDP($A147,"SECURITY_NAME"),""))</f>
        <v/>
      </c>
      <c r="J147" t="s">
        <v>22</v>
      </c>
      <c r="K147" t="s">
        <v>141</v>
      </c>
      <c r="L147" t="s">
        <v>24</v>
      </c>
      <c r="M147" t="s">
        <v>142</v>
      </c>
      <c r="N147" t="e">
        <f ca="1">IF(LEN(TRIM(A147))=0,"",IFERROR(_xll.BDP(A147,"PX_LAST"),NA()))</f>
        <v>#N/A</v>
      </c>
    </row>
    <row r="148" spans="1:14" x14ac:dyDescent="0.2">
      <c r="A148" t="s">
        <v>116</v>
      </c>
      <c r="B148" t="s">
        <v>83</v>
      </c>
      <c r="C148" t="s">
        <v>84</v>
      </c>
      <c r="D148" t="s">
        <v>17</v>
      </c>
      <c r="E148" t="s">
        <v>85</v>
      </c>
      <c r="F148" t="s">
        <v>113</v>
      </c>
      <c r="G148" t="s">
        <v>87</v>
      </c>
      <c r="H148" t="s">
        <v>114</v>
      </c>
      <c r="I148" t="str">
        <f ca="1">IF(LEN(TRIM($A148))=0,"",IFERROR(_xll.BDP($A148,"SECURITY_NAME"),""))</f>
        <v/>
      </c>
      <c r="J148" t="s">
        <v>22</v>
      </c>
      <c r="K148" t="s">
        <v>52</v>
      </c>
      <c r="L148" t="s">
        <v>24</v>
      </c>
      <c r="M148" t="s">
        <v>115</v>
      </c>
      <c r="N148" t="e">
        <f ca="1">IF(LEN(TRIM(A148))=0,"",IFERROR(_xll.BDP(A148,"PX_LAST"),NA()))</f>
        <v>#N/A</v>
      </c>
    </row>
    <row r="149" spans="1:14" x14ac:dyDescent="0.2">
      <c r="A149" t="s">
        <v>30</v>
      </c>
      <c r="B149" t="s">
        <v>31</v>
      </c>
      <c r="C149" t="s">
        <v>32</v>
      </c>
      <c r="D149" t="s">
        <v>17</v>
      </c>
      <c r="E149" t="s">
        <v>18</v>
      </c>
      <c r="F149" t="s">
        <v>33</v>
      </c>
      <c r="G149" t="s">
        <v>20</v>
      </c>
      <c r="H149" t="s">
        <v>21</v>
      </c>
      <c r="I149" t="str">
        <f ca="1">IF(LEN(TRIM($A149))=0,"",IFERROR(_xll.BDP($A149,"SECURITY_NAME"),""))</f>
        <v/>
      </c>
      <c r="J149" t="s">
        <v>22</v>
      </c>
      <c r="K149" t="s">
        <v>34</v>
      </c>
      <c r="L149" t="s">
        <v>24</v>
      </c>
      <c r="M149" t="s">
        <v>35</v>
      </c>
      <c r="N149" t="e">
        <f ca="1">IF(LEN(TRIM(A149))=0,"",IFERROR(_xll.BDP(A149,"PX_LAST"),NA()))</f>
        <v>#N/A</v>
      </c>
    </row>
    <row r="150" spans="1:14" x14ac:dyDescent="0.2">
      <c r="A150" t="s">
        <v>118</v>
      </c>
      <c r="B150" t="s">
        <v>83</v>
      </c>
      <c r="C150" t="s">
        <v>84</v>
      </c>
      <c r="D150" t="s">
        <v>17</v>
      </c>
      <c r="E150" t="s">
        <v>85</v>
      </c>
      <c r="F150" t="s">
        <v>119</v>
      </c>
      <c r="G150" t="s">
        <v>57</v>
      </c>
      <c r="H150" t="s">
        <v>120</v>
      </c>
      <c r="I150" t="str">
        <f ca="1">IF(LEN(TRIM($A150))=0,"",IFERROR(_xll.BDP($A150,"SECURITY_NAME"),""))</f>
        <v/>
      </c>
      <c r="J150" t="s">
        <v>22</v>
      </c>
      <c r="K150" t="s">
        <v>23</v>
      </c>
      <c r="L150" t="s">
        <v>24</v>
      </c>
      <c r="M150" t="s">
        <v>121</v>
      </c>
      <c r="N150" t="e">
        <f ca="1">IF(LEN(TRIM(A150))=0,"",IFERROR(_xll.BDP(A150,"PX_LAST"),NA()))</f>
        <v>#N/A</v>
      </c>
    </row>
    <row r="151" spans="1:14" x14ac:dyDescent="0.2">
      <c r="A151" t="s">
        <v>122</v>
      </c>
      <c r="B151" t="s">
        <v>83</v>
      </c>
      <c r="C151" t="s">
        <v>98</v>
      </c>
      <c r="D151" t="s">
        <v>17</v>
      </c>
      <c r="E151" t="s">
        <v>85</v>
      </c>
      <c r="F151" t="s">
        <v>123</v>
      </c>
      <c r="G151" t="s">
        <v>20</v>
      </c>
      <c r="H151" t="s">
        <v>21</v>
      </c>
      <c r="I151" t="str">
        <f ca="1">IF(LEN(TRIM($A151))=0,"",IFERROR(_xll.BDP($A151,"SECURITY_NAME"),""))</f>
        <v/>
      </c>
      <c r="J151" t="s">
        <v>22</v>
      </c>
      <c r="K151" t="s">
        <v>23</v>
      </c>
      <c r="L151" t="s">
        <v>24</v>
      </c>
      <c r="M151" t="s">
        <v>121</v>
      </c>
      <c r="N151" t="e">
        <f ca="1">IF(LEN(TRIM(A151))=0,"",IFERROR(_xll.BDP(A151,"PX_LAST"),NA()))</f>
        <v>#N/A</v>
      </c>
    </row>
    <row r="152" spans="1:14" x14ac:dyDescent="0.2">
      <c r="A152" t="s">
        <v>68</v>
      </c>
      <c r="B152" t="s">
        <v>60</v>
      </c>
      <c r="C152" t="s">
        <v>61</v>
      </c>
      <c r="D152" t="s">
        <v>17</v>
      </c>
      <c r="E152" t="s">
        <v>18</v>
      </c>
      <c r="F152" t="s">
        <v>62</v>
      </c>
      <c r="G152" t="s">
        <v>20</v>
      </c>
      <c r="H152" t="s">
        <v>21</v>
      </c>
      <c r="I152" t="str">
        <f ca="1">IF(LEN(TRIM($A152))=0,"",IFERROR(_xll.BDP($A152,"SECURITY_NAME"),""))</f>
        <v/>
      </c>
      <c r="J152" t="s">
        <v>22</v>
      </c>
      <c r="K152" t="s">
        <v>23</v>
      </c>
      <c r="L152" t="s">
        <v>24</v>
      </c>
      <c r="M152" t="s">
        <v>63</v>
      </c>
      <c r="N152" t="e">
        <f ca="1">IF(LEN(TRIM(A152))=0,"",IFERROR(_xll.BDP(A152,"PX_LAST"),NA()))</f>
        <v>#N/A</v>
      </c>
    </row>
    <row r="153" spans="1:14" x14ac:dyDescent="0.2">
      <c r="A153" t="s">
        <v>230</v>
      </c>
      <c r="B153" t="s">
        <v>197</v>
      </c>
      <c r="C153" t="s">
        <v>231</v>
      </c>
      <c r="D153" t="s">
        <v>17</v>
      </c>
      <c r="E153" t="s">
        <v>210</v>
      </c>
      <c r="F153" t="s">
        <v>232</v>
      </c>
      <c r="G153" t="s">
        <v>20</v>
      </c>
      <c r="H153" t="s">
        <v>21</v>
      </c>
      <c r="I153" t="str">
        <f ca="1">IF(LEN(TRIM($A153))=0,"",IFERROR(_xll.BDP($A153,"SECURITY_NAME"),""))</f>
        <v/>
      </c>
      <c r="J153" t="s">
        <v>22</v>
      </c>
      <c r="K153" t="s">
        <v>52</v>
      </c>
      <c r="L153" t="s">
        <v>24</v>
      </c>
      <c r="M153" t="s">
        <v>233</v>
      </c>
      <c r="N153" t="e">
        <f ca="1">IF(LEN(TRIM(A153))=0,"",IFERROR(_xll.BDP(A153,"PX_LAST"),NA()))</f>
        <v>#N/A</v>
      </c>
    </row>
    <row r="154" spans="1:14" x14ac:dyDescent="0.2">
      <c r="A154" t="s">
        <v>327</v>
      </c>
      <c r="B154" t="s">
        <v>197</v>
      </c>
      <c r="C154" t="s">
        <v>322</v>
      </c>
      <c r="D154" t="s">
        <v>17</v>
      </c>
      <c r="E154" t="s">
        <v>323</v>
      </c>
      <c r="F154" t="s">
        <v>21</v>
      </c>
      <c r="G154" t="s">
        <v>20</v>
      </c>
      <c r="H154" t="s">
        <v>21</v>
      </c>
      <c r="I154" t="str">
        <f ca="1">IF(LEN(TRIM($A154))=0,"",IFERROR(_xll.BDP($A154,"SECURITY_NAME"),""))</f>
        <v/>
      </c>
      <c r="J154" t="s">
        <v>22</v>
      </c>
      <c r="K154" t="s">
        <v>23</v>
      </c>
      <c r="L154" t="s">
        <v>24</v>
      </c>
      <c r="M154" t="s">
        <v>324</v>
      </c>
      <c r="N154" t="e">
        <f ca="1">IF(LEN(TRIM(A154))=0,"",IFERROR(_xll.BDP(A154,"PX_LAST"),NA()))</f>
        <v>#N/A</v>
      </c>
    </row>
    <row r="155" spans="1:14" x14ac:dyDescent="0.2">
      <c r="A155" t="s">
        <v>67</v>
      </c>
      <c r="B155" t="s">
        <v>60</v>
      </c>
      <c r="C155" t="s">
        <v>61</v>
      </c>
      <c r="D155" t="s">
        <v>17</v>
      </c>
      <c r="E155" t="s">
        <v>18</v>
      </c>
      <c r="F155" t="s">
        <v>62</v>
      </c>
      <c r="G155" t="s">
        <v>20</v>
      </c>
      <c r="H155" t="s">
        <v>21</v>
      </c>
      <c r="I155" t="str">
        <f ca="1">IF(LEN(TRIM($A155))=0,"",IFERROR(_xll.BDP($A155,"SECURITY_NAME"),""))</f>
        <v/>
      </c>
      <c r="J155" t="s">
        <v>22</v>
      </c>
      <c r="K155" t="s">
        <v>23</v>
      </c>
      <c r="L155" t="s">
        <v>24</v>
      </c>
      <c r="M155" t="s">
        <v>63</v>
      </c>
      <c r="N155" t="e">
        <f ca="1">IF(LEN(TRIM(A155))=0,"",IFERROR(_xll.BDP(A155,"PX_LAST"),NA()))</f>
        <v>#N/A</v>
      </c>
    </row>
    <row r="156" spans="1:14" x14ac:dyDescent="0.2">
      <c r="A156" t="s">
        <v>265</v>
      </c>
      <c r="B156" t="s">
        <v>197</v>
      </c>
      <c r="C156" t="s">
        <v>261</v>
      </c>
      <c r="D156" t="s">
        <v>17</v>
      </c>
      <c r="E156" t="s">
        <v>210</v>
      </c>
      <c r="F156" t="s">
        <v>266</v>
      </c>
      <c r="G156" t="s">
        <v>87</v>
      </c>
      <c r="H156" t="s">
        <v>224</v>
      </c>
      <c r="I156" t="str">
        <f ca="1">IF(LEN(TRIM($A156))=0,"",IFERROR(_xll.BDP($A156,"SECURITY_NAME"),""))</f>
        <v/>
      </c>
      <c r="J156" t="s">
        <v>22</v>
      </c>
      <c r="K156" t="s">
        <v>23</v>
      </c>
      <c r="L156" t="s">
        <v>24</v>
      </c>
      <c r="M156" t="s">
        <v>262</v>
      </c>
      <c r="N156" t="e">
        <f ca="1">IF(LEN(TRIM(A156))=0,"",IFERROR(_xll.BDP(A156,"PX_LAST"),NA()))</f>
        <v>#N/A</v>
      </c>
    </row>
    <row r="157" spans="1:14" x14ac:dyDescent="0.2">
      <c r="A157" t="s">
        <v>279</v>
      </c>
      <c r="B157" t="s">
        <v>168</v>
      </c>
      <c r="C157" t="s">
        <v>267</v>
      </c>
      <c r="D157" t="s">
        <v>17</v>
      </c>
      <c r="E157" t="s">
        <v>210</v>
      </c>
      <c r="F157" t="s">
        <v>267</v>
      </c>
      <c r="G157" t="s">
        <v>280</v>
      </c>
      <c r="H157" t="s">
        <v>280</v>
      </c>
      <c r="I157" t="str">
        <f ca="1">IF(LEN(TRIM($A157))=0,"",IFERROR(_xll.BDP($A157,"SECURITY_NAME"),""))</f>
        <v/>
      </c>
      <c r="J157" t="s">
        <v>22</v>
      </c>
      <c r="K157" t="s">
        <v>34</v>
      </c>
      <c r="L157" t="s">
        <v>24</v>
      </c>
      <c r="M157" t="s">
        <v>270</v>
      </c>
      <c r="N157" t="e">
        <f ca="1">IF(LEN(TRIM(A157))=0,"",IFERROR(_xll.BDP(A157,"PX_LAST"),NA()))</f>
        <v>#N/A</v>
      </c>
    </row>
    <row r="158" spans="1:14" x14ac:dyDescent="0.2">
      <c r="A158" t="s">
        <v>289</v>
      </c>
      <c r="B158" t="s">
        <v>282</v>
      </c>
      <c r="C158" t="s">
        <v>283</v>
      </c>
      <c r="D158" t="s">
        <v>17</v>
      </c>
      <c r="E158" t="s">
        <v>210</v>
      </c>
      <c r="F158" t="s">
        <v>284</v>
      </c>
      <c r="G158" t="s">
        <v>280</v>
      </c>
      <c r="H158" t="s">
        <v>280</v>
      </c>
      <c r="I158" t="str">
        <f ca="1">IF(LEN(TRIM($A158))=0,"",IFERROR(_xll.BDP($A158,"SECURITY_NAME"),""))</f>
        <v/>
      </c>
      <c r="J158" t="s">
        <v>22</v>
      </c>
      <c r="K158" t="s">
        <v>182</v>
      </c>
      <c r="L158" t="s">
        <v>24</v>
      </c>
      <c r="M158" t="s">
        <v>285</v>
      </c>
      <c r="N158" t="e">
        <f ca="1">IF(LEN(TRIM(A158))=0,"",IFERROR(_xll.BDP(A158,"PX_LAST"),NA()))</f>
        <v>#N/A</v>
      </c>
    </row>
    <row r="159" spans="1:14" x14ac:dyDescent="0.2">
      <c r="A159" t="s">
        <v>290</v>
      </c>
      <c r="B159" t="s">
        <v>282</v>
      </c>
      <c r="C159" t="s">
        <v>283</v>
      </c>
      <c r="D159" t="s">
        <v>17</v>
      </c>
      <c r="E159" t="s">
        <v>210</v>
      </c>
      <c r="F159" t="s">
        <v>284</v>
      </c>
      <c r="G159" t="s">
        <v>280</v>
      </c>
      <c r="H159" t="s">
        <v>280</v>
      </c>
      <c r="I159" t="str">
        <f ca="1">IF(LEN(TRIM($A159))=0,"",IFERROR(_xll.BDP($A159,"SECURITY_NAME"),""))</f>
        <v/>
      </c>
      <c r="J159" t="s">
        <v>22</v>
      </c>
      <c r="K159" t="s">
        <v>182</v>
      </c>
      <c r="L159" t="s">
        <v>24</v>
      </c>
      <c r="M159" t="s">
        <v>285</v>
      </c>
      <c r="N159" t="e">
        <f ca="1">IF(LEN(TRIM(A159))=0,"",IFERROR(_xll.BDP(A159,"PX_LAST"),NA()))</f>
        <v>#N/A</v>
      </c>
    </row>
    <row r="160" spans="1:14" x14ac:dyDescent="0.2">
      <c r="A160" t="s">
        <v>369</v>
      </c>
      <c r="B160" t="s">
        <v>75</v>
      </c>
      <c r="C160" t="s">
        <v>370</v>
      </c>
      <c r="D160" t="s">
        <v>342</v>
      </c>
      <c r="E160" t="s">
        <v>278</v>
      </c>
      <c r="F160" t="s">
        <v>371</v>
      </c>
      <c r="G160" t="s">
        <v>20</v>
      </c>
      <c r="H160" t="s">
        <v>21</v>
      </c>
      <c r="I160" t="str">
        <f ca="1">IF(LEN(TRIM($A160))=0,"",IFERROR(_xll.BDP($A160,"SECURITY_NAME"),""))</f>
        <v/>
      </c>
      <c r="J160" t="s">
        <v>22</v>
      </c>
      <c r="K160" t="s">
        <v>363</v>
      </c>
      <c r="L160" t="s">
        <v>24</v>
      </c>
      <c r="M160" t="s">
        <v>372</v>
      </c>
      <c r="N160" t="e">
        <f ca="1">IF(LEN(TRIM(A160))=0,"",IFERROR(_xll.BDP(A160,"PX_LAST"),NA()))</f>
        <v>#N/A</v>
      </c>
    </row>
    <row r="161" spans="1:14" x14ac:dyDescent="0.2">
      <c r="A161" t="s">
        <v>373</v>
      </c>
      <c r="B161" t="s">
        <v>75</v>
      </c>
      <c r="C161" t="s">
        <v>374</v>
      </c>
      <c r="D161" t="s">
        <v>342</v>
      </c>
      <c r="E161" t="s">
        <v>278</v>
      </c>
      <c r="F161" t="s">
        <v>375</v>
      </c>
      <c r="G161" t="s">
        <v>20</v>
      </c>
      <c r="H161" t="s">
        <v>21</v>
      </c>
      <c r="I161" t="str">
        <f ca="1">IF(LEN(TRIM($A161))=0,"",IFERROR(_xll.BDP($A161,"SECURITY_NAME"),""))</f>
        <v/>
      </c>
      <c r="J161" t="s">
        <v>22</v>
      </c>
      <c r="K161" t="s">
        <v>34</v>
      </c>
      <c r="L161" t="s">
        <v>24</v>
      </c>
      <c r="M161" t="s">
        <v>376</v>
      </c>
      <c r="N161" t="e">
        <f ca="1">IF(LEN(TRIM(A161))=0,"",IFERROR(_xll.BDP(A161,"PX_LAST"),NA()))</f>
        <v>#N/A</v>
      </c>
    </row>
    <row r="162" spans="1:14" x14ac:dyDescent="0.2">
      <c r="A162" t="s">
        <v>355</v>
      </c>
      <c r="B162" t="s">
        <v>75</v>
      </c>
      <c r="C162" t="s">
        <v>341</v>
      </c>
      <c r="D162" t="s">
        <v>342</v>
      </c>
      <c r="E162" t="s">
        <v>278</v>
      </c>
      <c r="F162" t="s">
        <v>356</v>
      </c>
      <c r="G162" t="s">
        <v>20</v>
      </c>
      <c r="H162" t="s">
        <v>21</v>
      </c>
      <c r="I162" t="str">
        <f ca="1">IF(LEN(TRIM($A162))=0,"",IFERROR(_xll.BDP($A162,"SECURITY_NAME"),""))</f>
        <v/>
      </c>
      <c r="J162" t="s">
        <v>22</v>
      </c>
      <c r="K162" t="s">
        <v>344</v>
      </c>
      <c r="L162" t="s">
        <v>24</v>
      </c>
      <c r="M162" t="s">
        <v>357</v>
      </c>
      <c r="N162" t="e">
        <f ca="1">IF(LEN(TRIM(A162))=0,"",IFERROR(_xll.BDP(A162,"PX_LAST"),NA()))</f>
        <v>#N/A</v>
      </c>
    </row>
    <row r="163" spans="1:14" x14ac:dyDescent="0.2">
      <c r="A163" t="s">
        <v>428</v>
      </c>
      <c r="B163" t="s">
        <v>75</v>
      </c>
      <c r="C163" t="s">
        <v>429</v>
      </c>
      <c r="D163" t="s">
        <v>402</v>
      </c>
      <c r="E163" t="s">
        <v>278</v>
      </c>
      <c r="F163" t="s">
        <v>430</v>
      </c>
      <c r="G163" t="s">
        <v>57</v>
      </c>
      <c r="H163" t="s">
        <v>81</v>
      </c>
      <c r="I163" t="str">
        <f ca="1">IF(LEN(TRIM($A163))=0,"",IFERROR(_xll.BDP($A163,"SECURITY_NAME"),""))</f>
        <v/>
      </c>
      <c r="J163" t="s">
        <v>22</v>
      </c>
      <c r="K163" t="s">
        <v>34</v>
      </c>
      <c r="L163" t="s">
        <v>24</v>
      </c>
      <c r="M163" t="s">
        <v>431</v>
      </c>
      <c r="N163" t="e">
        <f ca="1">IF(LEN(TRIM(A163))=0,"",IFERROR(_xll.BDP(A163,"PX_LAST"),NA()))</f>
        <v>#N/A</v>
      </c>
    </row>
    <row r="164" spans="1:14" x14ac:dyDescent="0.2">
      <c r="A164" t="s">
        <v>315</v>
      </c>
      <c r="B164" t="s">
        <v>21</v>
      </c>
      <c r="C164" t="s">
        <v>309</v>
      </c>
      <c r="D164" t="s">
        <v>17</v>
      </c>
      <c r="E164" t="s">
        <v>300</v>
      </c>
      <c r="F164" t="s">
        <v>310</v>
      </c>
      <c r="G164" t="s">
        <v>20</v>
      </c>
      <c r="H164" t="s">
        <v>21</v>
      </c>
      <c r="I164" t="str">
        <f ca="1">IF(LEN(TRIM($A164))=0,"",IFERROR(_xll.BDP($A164,"SECURITY_NAME"),""))</f>
        <v/>
      </c>
      <c r="J164" t="s">
        <v>22</v>
      </c>
      <c r="K164" t="s">
        <v>141</v>
      </c>
      <c r="L164" t="s">
        <v>24</v>
      </c>
      <c r="M164" t="s">
        <v>311</v>
      </c>
      <c r="N164" t="e">
        <f ca="1">IF(LEN(TRIM(A164))=0,"",IFERROR(_xll.BDP(A164,"PX_LAST"),NA()))</f>
        <v>#N/A</v>
      </c>
    </row>
    <row r="165" spans="1:14" x14ac:dyDescent="0.2">
      <c r="A165" t="s">
        <v>317</v>
      </c>
      <c r="B165" t="s">
        <v>21</v>
      </c>
      <c r="C165" t="s">
        <v>309</v>
      </c>
      <c r="D165" t="s">
        <v>17</v>
      </c>
      <c r="E165" t="s">
        <v>300</v>
      </c>
      <c r="F165" t="s">
        <v>310</v>
      </c>
      <c r="G165" t="s">
        <v>20</v>
      </c>
      <c r="H165" t="s">
        <v>21</v>
      </c>
      <c r="I165" t="str">
        <f ca="1">IF(LEN(TRIM($A165))=0,"",IFERROR(_xll.BDP($A165,"SECURITY_NAME"),""))</f>
        <v/>
      </c>
      <c r="J165" t="s">
        <v>22</v>
      </c>
      <c r="K165" t="s">
        <v>141</v>
      </c>
      <c r="L165" t="s">
        <v>24</v>
      </c>
      <c r="M165" t="s">
        <v>311</v>
      </c>
      <c r="N165" t="e">
        <f ca="1">IF(LEN(TRIM(A165))=0,"",IFERROR(_xll.BDP(A165,"PX_LAST"),NA()))</f>
        <v>#N/A</v>
      </c>
    </row>
    <row r="166" spans="1:14" x14ac:dyDescent="0.2">
      <c r="A166" t="s">
        <v>308</v>
      </c>
      <c r="B166" t="s">
        <v>21</v>
      </c>
      <c r="C166" t="s">
        <v>309</v>
      </c>
      <c r="D166" t="s">
        <v>17</v>
      </c>
      <c r="E166" t="s">
        <v>300</v>
      </c>
      <c r="F166" t="s">
        <v>310</v>
      </c>
      <c r="G166" t="s">
        <v>20</v>
      </c>
      <c r="H166" t="s">
        <v>21</v>
      </c>
      <c r="I166" t="str">
        <f ca="1">IF(LEN(TRIM($A166))=0,"",IFERROR(_xll.BDP($A166,"SECURITY_NAME"),""))</f>
        <v/>
      </c>
      <c r="J166" t="s">
        <v>22</v>
      </c>
      <c r="K166" t="s">
        <v>141</v>
      </c>
      <c r="L166" t="s">
        <v>24</v>
      </c>
      <c r="M166" t="s">
        <v>311</v>
      </c>
      <c r="N166" t="e">
        <f ca="1">IF(LEN(TRIM(A166))=0,"",IFERROR(_xll.BDP(A166,"PX_LAST"),NA()))</f>
        <v>#N/A</v>
      </c>
    </row>
    <row r="167" spans="1:14" x14ac:dyDescent="0.2">
      <c r="A167" t="s">
        <v>138</v>
      </c>
      <c r="B167" t="s">
        <v>83</v>
      </c>
      <c r="C167" t="s">
        <v>84</v>
      </c>
      <c r="D167" t="s">
        <v>17</v>
      </c>
      <c r="E167" t="s">
        <v>85</v>
      </c>
      <c r="F167" t="s">
        <v>135</v>
      </c>
      <c r="G167" t="s">
        <v>57</v>
      </c>
      <c r="H167" t="s">
        <v>136</v>
      </c>
      <c r="I167" t="str">
        <f ca="1">IF(LEN(TRIM($A167))=0,"",IFERROR(_xll.BDP($A167,"SECURITY_NAME"),""))</f>
        <v/>
      </c>
      <c r="J167" t="s">
        <v>22</v>
      </c>
      <c r="K167" t="s">
        <v>52</v>
      </c>
      <c r="L167" t="s">
        <v>24</v>
      </c>
      <c r="M167" t="s">
        <v>137</v>
      </c>
      <c r="N167" t="e">
        <f ca="1">IF(LEN(TRIM(A167))=0,"",IFERROR(_xll.BDP(A167,"PX_LAST"),NA()))</f>
        <v>#N/A</v>
      </c>
    </row>
    <row r="168" spans="1:14" x14ac:dyDescent="0.2">
      <c r="A168" t="s">
        <v>314</v>
      </c>
      <c r="B168" t="s">
        <v>21</v>
      </c>
      <c r="C168" t="s">
        <v>309</v>
      </c>
      <c r="D168" t="s">
        <v>17</v>
      </c>
      <c r="E168" t="s">
        <v>300</v>
      </c>
      <c r="F168" t="s">
        <v>310</v>
      </c>
      <c r="G168" t="s">
        <v>20</v>
      </c>
      <c r="H168" t="s">
        <v>21</v>
      </c>
      <c r="I168" t="str">
        <f ca="1">IF(LEN(TRIM($A168))=0,"",IFERROR(_xll.BDP($A168,"SECURITY_NAME"),""))</f>
        <v/>
      </c>
      <c r="J168" t="s">
        <v>22</v>
      </c>
      <c r="K168" t="s">
        <v>141</v>
      </c>
      <c r="L168" t="s">
        <v>24</v>
      </c>
      <c r="M168" t="s">
        <v>311</v>
      </c>
      <c r="N168" t="e">
        <f ca="1">IF(LEN(TRIM(A168))=0,"",IFERROR(_xll.BDP(A168,"PX_LAST"),NA()))</f>
        <v>#N/A</v>
      </c>
    </row>
    <row r="169" spans="1:14" x14ac:dyDescent="0.2">
      <c r="A169" t="s">
        <v>191</v>
      </c>
      <c r="B169" t="s">
        <v>75</v>
      </c>
      <c r="C169" t="s">
        <v>192</v>
      </c>
      <c r="D169" t="s">
        <v>17</v>
      </c>
      <c r="E169" t="s">
        <v>170</v>
      </c>
      <c r="F169" t="s">
        <v>193</v>
      </c>
      <c r="G169" t="s">
        <v>20</v>
      </c>
      <c r="H169" t="s">
        <v>21</v>
      </c>
      <c r="I169" t="str">
        <f ca="1">IF(LEN(TRIM($A169))=0,"",IFERROR(_xll.BDP($A169,"SECURITY_NAME"),""))</f>
        <v/>
      </c>
      <c r="J169" t="s">
        <v>22</v>
      </c>
      <c r="K169" t="s">
        <v>182</v>
      </c>
      <c r="L169" t="s">
        <v>24</v>
      </c>
      <c r="M169" t="s">
        <v>194</v>
      </c>
      <c r="N169" t="e">
        <f ca="1">IF(LEN(TRIM(A169))=0,"",IFERROR(_xll.BDP(A169,"PX_LAST"),NA()))</f>
        <v>#N/A</v>
      </c>
    </row>
    <row r="170" spans="1:14" x14ac:dyDescent="0.2">
      <c r="A170" t="s">
        <v>195</v>
      </c>
      <c r="B170" t="s">
        <v>75</v>
      </c>
      <c r="C170" t="s">
        <v>192</v>
      </c>
      <c r="D170" t="s">
        <v>17</v>
      </c>
      <c r="E170" t="s">
        <v>170</v>
      </c>
      <c r="F170" t="s">
        <v>193</v>
      </c>
      <c r="G170" t="s">
        <v>20</v>
      </c>
      <c r="H170" t="s">
        <v>21</v>
      </c>
      <c r="I170" t="str">
        <f ca="1">IF(LEN(TRIM($A170))=0,"",IFERROR(_xll.BDP($A170,"SECURITY_NAME"),""))</f>
        <v/>
      </c>
      <c r="J170" t="s">
        <v>22</v>
      </c>
      <c r="K170" t="s">
        <v>182</v>
      </c>
      <c r="L170" t="s">
        <v>24</v>
      </c>
      <c r="M170" t="s">
        <v>194</v>
      </c>
      <c r="N170" t="e">
        <f ca="1">IF(LEN(TRIM(A170))=0,"",IFERROR(_xll.BDP(A170,"PX_LAST"),NA()))</f>
        <v>#N/A</v>
      </c>
    </row>
    <row r="171" spans="1:14" x14ac:dyDescent="0.2">
      <c r="A171" t="s">
        <v>400</v>
      </c>
      <c r="B171" t="s">
        <v>75</v>
      </c>
      <c r="C171" t="s">
        <v>401</v>
      </c>
      <c r="D171" t="s">
        <v>402</v>
      </c>
      <c r="E171" t="s">
        <v>278</v>
      </c>
      <c r="F171" t="s">
        <v>403</v>
      </c>
      <c r="G171" t="s">
        <v>20</v>
      </c>
      <c r="H171" t="s">
        <v>21</v>
      </c>
      <c r="I171" t="str">
        <f ca="1">IF(LEN(TRIM($A171))=0,"",IFERROR(_xll.BDP($A171,"SECURITY_NAME"),""))</f>
        <v/>
      </c>
      <c r="J171" t="s">
        <v>22</v>
      </c>
      <c r="K171" t="s">
        <v>34</v>
      </c>
      <c r="L171" t="s">
        <v>24</v>
      </c>
      <c r="M171" t="s">
        <v>404</v>
      </c>
      <c r="N171" t="e">
        <f ca="1">IF(LEN(TRIM(A171))=0,"",IFERROR(_xll.BDP(A171,"PX_LAST"),NA()))</f>
        <v>#N/A</v>
      </c>
    </row>
    <row r="172" spans="1:14" x14ac:dyDescent="0.2">
      <c r="A172" t="s">
        <v>312</v>
      </c>
      <c r="B172" t="s">
        <v>21</v>
      </c>
      <c r="C172" t="s">
        <v>309</v>
      </c>
      <c r="D172" t="s">
        <v>17</v>
      </c>
      <c r="E172" t="s">
        <v>300</v>
      </c>
      <c r="F172" t="s">
        <v>310</v>
      </c>
      <c r="G172" t="s">
        <v>20</v>
      </c>
      <c r="H172" t="s">
        <v>21</v>
      </c>
      <c r="I172" t="str">
        <f ca="1">IF(LEN(TRIM($A172))=0,"",IFERROR(_xll.BDP($A172,"SECURITY_NAME"),""))</f>
        <v/>
      </c>
      <c r="J172" t="s">
        <v>22</v>
      </c>
      <c r="K172" t="s">
        <v>141</v>
      </c>
      <c r="L172" t="s">
        <v>24</v>
      </c>
      <c r="M172" t="s">
        <v>311</v>
      </c>
      <c r="N172" t="e">
        <f ca="1">IF(LEN(TRIM(A172))=0,"",IFERROR(_xll.BDP(A172,"PX_LAST"),NA()))</f>
        <v>#N/A</v>
      </c>
    </row>
    <row r="173" spans="1:14" x14ac:dyDescent="0.2">
      <c r="A173" t="s">
        <v>313</v>
      </c>
      <c r="B173" t="s">
        <v>21</v>
      </c>
      <c r="C173" t="s">
        <v>309</v>
      </c>
      <c r="D173" t="s">
        <v>17</v>
      </c>
      <c r="E173" t="s">
        <v>300</v>
      </c>
      <c r="F173" t="s">
        <v>310</v>
      </c>
      <c r="G173" t="s">
        <v>20</v>
      </c>
      <c r="H173" t="s">
        <v>21</v>
      </c>
      <c r="I173" t="str">
        <f ca="1">IF(LEN(TRIM($A173))=0,"",IFERROR(_xll.BDP($A173,"SECURITY_NAME"),""))</f>
        <v/>
      </c>
      <c r="J173" t="s">
        <v>22</v>
      </c>
      <c r="K173" t="s">
        <v>141</v>
      </c>
      <c r="L173" t="s">
        <v>24</v>
      </c>
      <c r="M173" t="s">
        <v>311</v>
      </c>
      <c r="N173" t="e">
        <f ca="1">IF(LEN(TRIM(A173))=0,"",IFERROR(_xll.BDP(A173,"PX_LAST"),NA()))</f>
        <v>#N/A</v>
      </c>
    </row>
    <row r="174" spans="1:14" x14ac:dyDescent="0.2">
      <c r="A174" t="s">
        <v>316</v>
      </c>
      <c r="B174" t="s">
        <v>21</v>
      </c>
      <c r="C174" t="s">
        <v>309</v>
      </c>
      <c r="D174" t="s">
        <v>17</v>
      </c>
      <c r="E174" t="s">
        <v>300</v>
      </c>
      <c r="F174" t="s">
        <v>310</v>
      </c>
      <c r="G174" t="s">
        <v>20</v>
      </c>
      <c r="H174" t="s">
        <v>21</v>
      </c>
      <c r="I174" t="str">
        <f ca="1">IF(LEN(TRIM($A174))=0,"",IFERROR(_xll.BDP($A174,"SECURITY_NAME"),""))</f>
        <v/>
      </c>
      <c r="J174" t="s">
        <v>22</v>
      </c>
      <c r="K174" t="s">
        <v>141</v>
      </c>
      <c r="L174" t="s">
        <v>24</v>
      </c>
      <c r="M174" t="s">
        <v>311</v>
      </c>
      <c r="N174" t="e">
        <f ca="1">IF(LEN(TRIM(A174))=0,"",IFERROR(_xll.BDP(A174,"PX_LAST"),NA()))</f>
        <v>#N/A</v>
      </c>
    </row>
    <row r="175" spans="1:14" x14ac:dyDescent="0.2">
      <c r="A175" t="s">
        <v>442</v>
      </c>
      <c r="B175" t="s">
        <v>75</v>
      </c>
      <c r="C175" t="s">
        <v>443</v>
      </c>
      <c r="D175" t="s">
        <v>402</v>
      </c>
      <c r="E175" t="s">
        <v>278</v>
      </c>
      <c r="F175" t="s">
        <v>444</v>
      </c>
      <c r="G175" t="s">
        <v>87</v>
      </c>
      <c r="H175" t="s">
        <v>224</v>
      </c>
      <c r="I175" t="str">
        <f ca="1">IF(LEN(TRIM($A175))=0,"",IFERROR(_xll.BDP($A175,"SECURITY_NAME"),""))</f>
        <v/>
      </c>
      <c r="J175" t="s">
        <v>22</v>
      </c>
      <c r="K175" t="s">
        <v>445</v>
      </c>
      <c r="L175" t="s">
        <v>24</v>
      </c>
      <c r="M175" t="s">
        <v>446</v>
      </c>
      <c r="N175" t="e">
        <f ca="1">IF(LEN(TRIM(A175))=0,"",IFERROR(_xll.BDP(A175,"PX_LAST"),NA()))</f>
        <v>#N/A</v>
      </c>
    </row>
    <row r="176" spans="1:14" x14ac:dyDescent="0.2">
      <c r="A176" t="s">
        <v>147</v>
      </c>
      <c r="B176" t="s">
        <v>83</v>
      </c>
      <c r="C176" t="s">
        <v>84</v>
      </c>
      <c r="D176" t="s">
        <v>17</v>
      </c>
      <c r="E176" t="s">
        <v>85</v>
      </c>
      <c r="F176" t="s">
        <v>140</v>
      </c>
      <c r="G176" t="s">
        <v>20</v>
      </c>
      <c r="H176" t="s">
        <v>21</v>
      </c>
      <c r="I176" t="str">
        <f ca="1">IF(LEN(TRIM($A176))=0,"",IFERROR(_xll.BDP($A176,"SECURITY_NAME"),""))</f>
        <v/>
      </c>
      <c r="J176" t="s">
        <v>22</v>
      </c>
      <c r="K176" t="s">
        <v>141</v>
      </c>
      <c r="L176" t="s">
        <v>24</v>
      </c>
      <c r="M176" t="s">
        <v>142</v>
      </c>
      <c r="N176" t="e">
        <f ca="1">IF(LEN(TRIM(A176))=0,"",IFERROR(_xll.BDP(A176,"PX_LAST"),NA()))</f>
        <v>#N/A</v>
      </c>
    </row>
    <row r="177" spans="1:14" x14ac:dyDescent="0.2">
      <c r="A177" t="s">
        <v>257</v>
      </c>
      <c r="B177" t="s">
        <v>197</v>
      </c>
      <c r="C177" t="s">
        <v>243</v>
      </c>
      <c r="D177" t="s">
        <v>17</v>
      </c>
      <c r="E177" t="s">
        <v>210</v>
      </c>
      <c r="F177" t="s">
        <v>258</v>
      </c>
      <c r="G177" t="s">
        <v>20</v>
      </c>
      <c r="H177" t="s">
        <v>21</v>
      </c>
      <c r="I177" t="str">
        <f ca="1">IF(LEN(TRIM($A177))=0,"",IFERROR(_xll.BDP($A177,"SECURITY_NAME"),""))</f>
        <v/>
      </c>
      <c r="J177" t="s">
        <v>22</v>
      </c>
      <c r="K177" t="s">
        <v>34</v>
      </c>
      <c r="L177" t="s">
        <v>24</v>
      </c>
      <c r="M177" t="s">
        <v>259</v>
      </c>
      <c r="N177" t="e">
        <f ca="1">IF(LEN(TRIM(A177))=0,"",IFERROR(_xll.BDP(A177,"PX_LAST"),NA()))</f>
        <v>#N/A</v>
      </c>
    </row>
    <row r="178" spans="1:14" x14ac:dyDescent="0.2">
      <c r="A178" t="s">
        <v>158</v>
      </c>
      <c r="B178" t="s">
        <v>83</v>
      </c>
      <c r="C178" t="s">
        <v>84</v>
      </c>
      <c r="D178" t="s">
        <v>17</v>
      </c>
      <c r="E178" t="s">
        <v>85</v>
      </c>
      <c r="F178" t="s">
        <v>140</v>
      </c>
      <c r="G178" t="s">
        <v>20</v>
      </c>
      <c r="H178" t="s">
        <v>21</v>
      </c>
      <c r="I178" t="str">
        <f ca="1">IF(LEN(TRIM($A178))=0,"",IFERROR(_xll.BDP($A178,"SECURITY_NAME"),""))</f>
        <v/>
      </c>
      <c r="J178" t="s">
        <v>22</v>
      </c>
      <c r="K178" t="s">
        <v>141</v>
      </c>
      <c r="L178" t="s">
        <v>24</v>
      </c>
      <c r="M178" t="s">
        <v>142</v>
      </c>
      <c r="N178" t="e">
        <f ca="1">IF(LEN(TRIM(A178))=0,"",IFERROR(_xll.BDP(A178,"PX_LAST"),NA()))</f>
        <v>#N/A</v>
      </c>
    </row>
    <row r="179" spans="1:14" x14ac:dyDescent="0.2">
      <c r="A179" t="s">
        <v>150</v>
      </c>
      <c r="B179" t="s">
        <v>83</v>
      </c>
      <c r="C179" t="s">
        <v>84</v>
      </c>
      <c r="D179" t="s">
        <v>17</v>
      </c>
      <c r="E179" t="s">
        <v>85</v>
      </c>
      <c r="F179" t="s">
        <v>140</v>
      </c>
      <c r="G179" t="s">
        <v>20</v>
      </c>
      <c r="H179" t="s">
        <v>21</v>
      </c>
      <c r="I179" t="str">
        <f ca="1">IF(LEN(TRIM($A179))=0,"",IFERROR(_xll.BDP($A179,"SECURITY_NAME"),""))</f>
        <v/>
      </c>
      <c r="J179" t="s">
        <v>22</v>
      </c>
      <c r="K179" t="s">
        <v>141</v>
      </c>
      <c r="L179" t="s">
        <v>24</v>
      </c>
      <c r="M179" t="s">
        <v>142</v>
      </c>
      <c r="N179" t="e">
        <f ca="1">IF(LEN(TRIM(A179))=0,"",IFERROR(_xll.BDP(A179,"PX_LAST"),NA()))</f>
        <v>#N/A</v>
      </c>
    </row>
    <row r="180" spans="1:14" x14ac:dyDescent="0.2">
      <c r="A180" t="s">
        <v>295</v>
      </c>
      <c r="B180" t="s">
        <v>282</v>
      </c>
      <c r="C180" t="s">
        <v>296</v>
      </c>
      <c r="D180" t="s">
        <v>17</v>
      </c>
      <c r="E180" t="s">
        <v>210</v>
      </c>
      <c r="F180" t="s">
        <v>293</v>
      </c>
      <c r="G180" t="s">
        <v>255</v>
      </c>
      <c r="H180" t="s">
        <v>278</v>
      </c>
      <c r="I180" t="str">
        <f ca="1">IF(LEN(TRIM($A180))=0,"",IFERROR(_xll.BDP($A180,"SECURITY_NAME"),""))</f>
        <v/>
      </c>
      <c r="J180" t="s">
        <v>22</v>
      </c>
      <c r="K180" t="s">
        <v>205</v>
      </c>
      <c r="L180" t="s">
        <v>24</v>
      </c>
      <c r="M180" t="s">
        <v>294</v>
      </c>
      <c r="N180" t="e">
        <f ca="1">IF(LEN(TRIM(A180))=0,"",IFERROR(_xll.BDP(A180,"PX_LAST"),NA()))</f>
        <v>#N/A</v>
      </c>
    </row>
    <row r="181" spans="1:14" x14ac:dyDescent="0.2">
      <c r="A181" t="s">
        <v>297</v>
      </c>
      <c r="B181" t="s">
        <v>282</v>
      </c>
      <c r="C181" t="s">
        <v>296</v>
      </c>
      <c r="D181" t="s">
        <v>17</v>
      </c>
      <c r="E181" t="s">
        <v>210</v>
      </c>
      <c r="F181" t="s">
        <v>293</v>
      </c>
      <c r="G181" t="s">
        <v>255</v>
      </c>
      <c r="H181" t="s">
        <v>278</v>
      </c>
      <c r="I181" t="str">
        <f ca="1">IF(LEN(TRIM($A181))=0,"",IFERROR(_xll.BDP($A181,"SECURITY_NAME"),""))</f>
        <v/>
      </c>
      <c r="J181" t="s">
        <v>22</v>
      </c>
      <c r="K181" t="s">
        <v>205</v>
      </c>
      <c r="L181" t="s">
        <v>24</v>
      </c>
      <c r="M181" t="s">
        <v>294</v>
      </c>
      <c r="N181" t="e">
        <f ca="1">IF(LEN(TRIM(A181))=0,"",IFERROR(_xll.BDP(A181,"PX_LAST"),NA()))</f>
        <v>#N/A</v>
      </c>
    </row>
    <row r="182" spans="1:14" x14ac:dyDescent="0.2">
      <c r="A182" t="s">
        <v>162</v>
      </c>
      <c r="B182" t="s">
        <v>83</v>
      </c>
      <c r="C182" t="s">
        <v>84</v>
      </c>
      <c r="D182" t="s">
        <v>17</v>
      </c>
      <c r="E182" t="s">
        <v>85</v>
      </c>
      <c r="F182" t="s">
        <v>140</v>
      </c>
      <c r="G182" t="s">
        <v>20</v>
      </c>
      <c r="H182" t="s">
        <v>21</v>
      </c>
      <c r="I182" t="str">
        <f ca="1">IF(LEN(TRIM($A182))=0,"",IFERROR(_xll.BDP($A182,"SECURITY_NAME"),""))</f>
        <v/>
      </c>
      <c r="J182" t="s">
        <v>22</v>
      </c>
      <c r="K182" t="s">
        <v>141</v>
      </c>
      <c r="L182" t="s">
        <v>24</v>
      </c>
      <c r="M182" t="s">
        <v>142</v>
      </c>
      <c r="N182" t="e">
        <f ca="1">IF(LEN(TRIM(A182))=0,"",IFERROR(_xll.BDP(A182,"PX_LAST"),NA()))</f>
        <v>#N/A</v>
      </c>
    </row>
    <row r="183" spans="1:14" x14ac:dyDescent="0.2">
      <c r="A183" t="s">
        <v>216</v>
      </c>
      <c r="B183" t="s">
        <v>75</v>
      </c>
      <c r="C183" t="s">
        <v>209</v>
      </c>
      <c r="D183" t="s">
        <v>17</v>
      </c>
      <c r="E183" t="s">
        <v>210</v>
      </c>
      <c r="F183" t="s">
        <v>217</v>
      </c>
      <c r="G183" t="s">
        <v>57</v>
      </c>
      <c r="H183" t="s">
        <v>136</v>
      </c>
      <c r="I183" t="str">
        <f ca="1">IF(LEN(TRIM($A183))=0,"",IFERROR(_xll.BDP($A183,"SECURITY_NAME"),""))</f>
        <v/>
      </c>
      <c r="J183" t="s">
        <v>22</v>
      </c>
      <c r="K183" t="s">
        <v>23</v>
      </c>
      <c r="L183" t="s">
        <v>24</v>
      </c>
      <c r="M183" t="s">
        <v>218</v>
      </c>
      <c r="N183" t="e">
        <f ca="1">IF(LEN(TRIM(A183))=0,"",IFERROR(_xll.BDP(A183,"PX_LAST"),NA()))</f>
        <v>#N/A</v>
      </c>
    </row>
  </sheetData>
  <autoFilter ref="A1:N183" xr:uid="{00000000-0009-0000-0000-000000000000}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Universe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ks4327</cp:lastModifiedBy>
  <dcterms:created xsi:type="dcterms:W3CDTF">2025-09-09T20:09:57Z</dcterms:created>
  <dcterms:modified xsi:type="dcterms:W3CDTF">2025-10-22T15:45:19Z</dcterms:modified>
</cp:coreProperties>
</file>